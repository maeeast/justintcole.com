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9.xml.rels" ContentType="application/vnd.openxmlformats-package.relationships+xml"/>
  <Override PartName="/xl/workbook.xml" ContentType="application/vnd.openxmlformats-officedocument.spreadsheetml.sheet.main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_rels/drawing1.xml.rels" ContentType="application/vnd.openxmlformats-package.relationship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9.xml" ContentType="application/vnd.openxmlformats-officedocument.spreadsheetml.comment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2"/>
    <sheet name="Entity 1 Outputs" sheetId="2" state="visible" r:id="rId3"/>
    <sheet name="Entity 2 Out" sheetId="3" state="visible" r:id="rId4"/>
    <sheet name="Entity 3 Out" sheetId="4" state="visible" r:id="rId5"/>
    <sheet name="Summary" sheetId="5" state="visible" r:id="rId6"/>
    <sheet name="Valuation" sheetId="6" state="visible" r:id="rId7"/>
    <sheet name="Customer Growth" sheetId="7" state="visible" r:id="rId8"/>
    <sheet name="Competitor Comparison" sheetId="8" state="visible" r:id="rId9"/>
    <sheet name="Entity 1 - Brand 2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/>
  </authors>
  <commentList>
    <comment ref="A5" authorId="0">
      <text>
        <r>
          <rPr>
            <sz val="10"/>
            <color rgb="FF000000"/>
            <rFont val="Arial"/>
            <family val="0"/>
            <charset val="1"/>
          </rPr>
          <t xml:space="preserve">Justin T. Cole:
</t>
        </r>
      </text>
    </comment>
    <comment ref="I5" authorId="0">
      <text>
        <r>
          <rPr>
            <sz val="10"/>
            <color rgb="FF000000"/>
            <rFont val="Arial"/>
            <family val="0"/>
            <charset val="1"/>
          </rPr>
          <t xml:space="preserve">Justin T. Cole: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/>
  </authors>
  <commentList>
    <comment ref="A5" authorId="0">
      <text>
        <r>
          <rPr>
            <sz val="10"/>
            <color rgb="FF000000"/>
            <rFont val="Arial"/>
            <family val="0"/>
            <charset val="1"/>
          </rPr>
          <t xml:space="preserve">Justin T. Cole:
</t>
        </r>
      </text>
    </comment>
    <comment ref="I5" authorId="0">
      <text>
        <r>
          <rPr>
            <sz val="10"/>
            <color rgb="FF000000"/>
            <rFont val="Arial"/>
            <family val="0"/>
            <charset val="1"/>
          </rPr>
          <t xml:space="preserve">Justin T. Cole: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/>
  </authors>
  <commentList>
    <comment ref="A5" authorId="0">
      <text>
        <r>
          <rPr>
            <sz val="10"/>
            <color rgb="FF000000"/>
            <rFont val="Arial"/>
            <family val="0"/>
            <charset val="1"/>
          </rPr>
          <t xml:space="preserve">Justin T. Cole:
</t>
        </r>
      </text>
    </comment>
    <comment ref="I5" authorId="0">
      <text>
        <r>
          <rPr>
            <sz val="10"/>
            <color rgb="FF000000"/>
            <rFont val="Arial"/>
            <family val="0"/>
            <charset val="1"/>
          </rPr>
          <t xml:space="preserve">Justin T. Cole:
</t>
        </r>
      </text>
    </comment>
    <comment ref="AG5" authorId="0">
      <text>
        <r>
          <rPr>
            <sz val="10"/>
            <color rgb="FF000000"/>
            <rFont val="Arial"/>
            <family val="0"/>
            <charset val="1"/>
          </rPr>
          <t xml:space="preserve">Justin T. Cole:
</t>
        </r>
      </text>
    </comment>
    <comment ref="AO5" authorId="0">
      <text>
        <r>
          <rPr>
            <sz val="10"/>
            <color rgb="FF000000"/>
            <rFont val="Arial"/>
            <family val="0"/>
            <charset val="1"/>
          </rPr>
          <t xml:space="preserve">Justin T. Cole:
</t>
        </r>
      </text>
    </comment>
  </commentList>
</comments>
</file>

<file path=xl/sharedStrings.xml><?xml version="1.0" encoding="utf-8"?>
<sst xmlns="http://schemas.openxmlformats.org/spreadsheetml/2006/main" count="1686" uniqueCount="509">
  <si>
    <t xml:space="preserve">Entity 1</t>
  </si>
  <si>
    <t xml:space="preserve">Subscriber Management Fee</t>
  </si>
  <si>
    <t xml:space="preserve">Retail Pricing</t>
  </si>
  <si>
    <t xml:space="preserve">Start Up Costs (per Brand)</t>
  </si>
  <si>
    <t xml:space="preserve">Year 1 Customer Equipment</t>
  </si>
  <si>
    <t xml:space="preserve">Susidy</t>
  </si>
  <si>
    <t xml:space="preserve">Additional Packaged Items</t>
  </si>
  <si>
    <t xml:space="preserve">Per service component 1</t>
  </si>
  <si>
    <t xml:space="preserve">Product 1</t>
  </si>
  <si>
    <t xml:space="preserve">Item</t>
  </si>
  <si>
    <t xml:space="preserve">Quantity</t>
  </si>
  <si>
    <t xml:space="preserve">Cost Per</t>
  </si>
  <si>
    <t xml:space="preserve">Total Cost</t>
  </si>
  <si>
    <t xml:space="preserve">Make - Model</t>
  </si>
  <si>
    <t xml:space="preserve">Our Cost</t>
  </si>
  <si>
    <t xml:space="preserve">Add-Ins (net cost)</t>
  </si>
  <si>
    <t xml:space="preserve">Packaging &amp; Shipping</t>
  </si>
  <si>
    <t xml:space="preserve">Decorator</t>
  </si>
  <si>
    <t xml:space="preserve">Imaging</t>
  </si>
  <si>
    <t xml:space="preserve">Add-Ins (cust price)</t>
  </si>
  <si>
    <t xml:space="preserve">Retail Price</t>
  </si>
  <si>
    <t xml:space="preserve">Profit</t>
  </si>
  <si>
    <t xml:space="preserve">% Penetration</t>
  </si>
  <si>
    <t xml:space="preserve">Total Units</t>
  </si>
  <si>
    <t xml:space="preserve">Total Rev</t>
  </si>
  <si>
    <t xml:space="preserve">Total Profit</t>
  </si>
  <si>
    <t xml:space="preserve">%</t>
  </si>
  <si>
    <t xml:space="preserve">Cost</t>
  </si>
  <si>
    <t xml:space="preserve">Price</t>
  </si>
  <si>
    <t xml:space="preserve">Pro$F$it (LOSS)</t>
  </si>
  <si>
    <t xml:space="preserve">Per service component 2</t>
  </si>
  <si>
    <t xml:space="preserve">Product 2</t>
  </si>
  <si>
    <t xml:space="preserve">Component 1</t>
  </si>
  <si>
    <t xml:space="preserve">Payment Type Cost</t>
  </si>
  <si>
    <t xml:space="preserve">Product 3</t>
  </si>
  <si>
    <t xml:space="preserve">Electrical Profile</t>
  </si>
  <si>
    <t xml:space="preserve">USB Flash Disk</t>
  </si>
  <si>
    <t xml:space="preserve">Customer Care</t>
  </si>
  <si>
    <t xml:space="preserve">Product 4</t>
  </si>
  <si>
    <t xml:space="preserve">Graphical Profile</t>
  </si>
  <si>
    <t xml:space="preserve">Operational Costs</t>
  </si>
  <si>
    <t xml:space="preserve">Various Figures</t>
  </si>
  <si>
    <t xml:space="preserve">service component 1</t>
  </si>
  <si>
    <t xml:space="preserve">Longevity (months)</t>
  </si>
  <si>
    <t xml:space="preserve">service component 2</t>
  </si>
  <si>
    <t xml:space="preserve">Customer Loss</t>
  </si>
  <si>
    <t xml:space="preserve">1 Month of flat fee</t>
  </si>
  <si>
    <t xml:space="preserve">Daily Service Charge</t>
  </si>
  <si>
    <t xml:space="preserve">Pre-purchased product 1</t>
  </si>
  <si>
    <t xml:space="preserve">Product 1 Commission</t>
  </si>
  <si>
    <t xml:space="preserve">Annual Growth Rate (plus 100%)</t>
  </si>
  <si>
    <t xml:space="preserve">customer equipment</t>
  </si>
  <si>
    <t xml:space="preserve">Monthly Flat Fee</t>
  </si>
  <si>
    <t xml:space="preserve">equipment branding (physical)</t>
  </si>
  <si>
    <t xml:space="preserve">Activation Costs</t>
  </si>
  <si>
    <t xml:space="preserve">Activation Revenue</t>
  </si>
  <si>
    <t xml:space="preserve">software licensing</t>
  </si>
  <si>
    <t xml:space="preserve">Activation Cost 1</t>
  </si>
  <si>
    <t xml:space="preserve">Activation Fee</t>
  </si>
  <si>
    <t xml:space="preserve">equipment branding (digital)</t>
  </si>
  <si>
    <t xml:space="preserve">Activation Cost 2</t>
  </si>
  <si>
    <t xml:space="preserve">Customer Equipment </t>
  </si>
  <si>
    <t xml:space="preserve">Per-Brand Maximum Setup Cost</t>
  </si>
  <si>
    <t xml:space="preserve">Component</t>
  </si>
  <si>
    <t xml:space="preserve">StartUp Costs (One-Time)</t>
  </si>
  <si>
    <t xml:space="preserve">Dealer Commission</t>
  </si>
  <si>
    <t xml:space="preserve">Provisionsing Setup</t>
  </si>
  <si>
    <t xml:space="preserve">Payment Processing</t>
  </si>
  <si>
    <t xml:space="preserve">Per-Month Cust. Profit</t>
  </si>
  <si>
    <t xml:space="preserve">Data setup</t>
  </si>
  <si>
    <t xml:space="preserve">Customer Equipment</t>
  </si>
  <si>
    <t xml:space="preserve">Activation Subsidy</t>
  </si>
  <si>
    <t xml:space="preserve">Data Transfer</t>
  </si>
  <si>
    <t xml:space="preserve">Totals</t>
  </si>
  <si>
    <t xml:space="preserve">Months to Recover Subsidy</t>
  </si>
  <si>
    <t xml:space="preserve">Application Development</t>
  </si>
  <si>
    <t xml:space="preserve">Averages</t>
  </si>
  <si>
    <t xml:space="preserve">Total</t>
  </si>
  <si>
    <t xml:space="preserve">Average Usage</t>
  </si>
  <si>
    <t xml:space="preserve">Total One Time Costs</t>
  </si>
  <si>
    <t xml:space="preserve">Revenue</t>
  </si>
  <si>
    <t xml:space="preserve">Product 3 conversion</t>
  </si>
  <si>
    <t xml:space="preserve">Converted Product 3</t>
  </si>
  <si>
    <t xml:space="preserve">Fully Loaded Costs</t>
  </si>
  <si>
    <t xml:space="preserve">Product 1 per user</t>
  </si>
  <si>
    <t xml:space="preserve"> </t>
  </si>
  <si>
    <t xml:space="preserve">Base</t>
  </si>
  <si>
    <t xml:space="preserve">Commission</t>
  </si>
  <si>
    <t xml:space="preserve">Customer Management</t>
  </si>
  <si>
    <t xml:space="preserve">Flat Operating Fee</t>
  </si>
  <si>
    <t xml:space="preserve">Activation (divided by longevity)</t>
  </si>
  <si>
    <t xml:space="preserve">Per Unit Charge</t>
  </si>
  <si>
    <t xml:space="preserve">Fully Loaded Cost</t>
  </si>
  <si>
    <t xml:space="preserve">Retail</t>
  </si>
  <si>
    <t xml:space="preserve">Surplus (Deficit)</t>
  </si>
  <si>
    <t xml:space="preserve">Product 2 per user</t>
  </si>
  <si>
    <t xml:space="preserve">Monthly Fixed Revenue</t>
  </si>
  <si>
    <t xml:space="preserve">Product 3 billed rate</t>
  </si>
  <si>
    <t xml:space="preserve">Product 3 per user</t>
  </si>
  <si>
    <t xml:space="preserve">Average per user</t>
  </si>
  <si>
    <t xml:space="preserve">ARPU (from chart 1)</t>
  </si>
  <si>
    <t xml:space="preserve">Need to drop</t>
  </si>
  <si>
    <t xml:space="preserve">Product 4 per user</t>
  </si>
  <si>
    <t xml:space="preserve">-</t>
  </si>
  <si>
    <t xml:space="preserve">Brands</t>
  </si>
  <si>
    <t xml:space="preserve">Year 1 Estimates</t>
  </si>
  <si>
    <t xml:space="preserve">Monthly</t>
  </si>
  <si>
    <t xml:space="preserve">Annual - Aggregate</t>
  </si>
  <si>
    <t xml:space="preserve">Monthly Average</t>
  </si>
  <si>
    <t xml:space="preserve">Name</t>
  </si>
  <si>
    <t xml:space="preserve">Target Audience</t>
  </si>
  <si>
    <t xml:space="preserve">Expected Customers</t>
  </si>
  <si>
    <t xml:space="preserve">Penetration Rate</t>
  </si>
  <si>
    <t xml:space="preserve">Average Product 1 Sales</t>
  </si>
  <si>
    <t xml:space="preserve">Total Product 1 Sales</t>
  </si>
  <si>
    <t xml:space="preserve">Average Product 2 Sales</t>
  </si>
  <si>
    <t xml:space="preserve">Total Product 2 Sales</t>
  </si>
  <si>
    <t xml:space="preserve">Product 3 Sales</t>
  </si>
  <si>
    <t xml:space="preserve">Total Product 3 Sales</t>
  </si>
  <si>
    <t xml:space="preserve">Average Product 4</t>
  </si>
  <si>
    <t xml:space="preserve">Total Product 4</t>
  </si>
  <si>
    <t xml:space="preserve">Brand 1</t>
  </si>
  <si>
    <t xml:space="preserve">Brand 2</t>
  </si>
  <si>
    <t xml:space="preserve">Brand 3</t>
  </si>
  <si>
    <t xml:space="preserve">Brand 4</t>
  </si>
  <si>
    <t xml:space="preserve">Brand 5</t>
  </si>
  <si>
    <t xml:space="preserve">Brand 6</t>
  </si>
  <si>
    <t xml:space="preserve">Brand 7</t>
  </si>
  <si>
    <t xml:space="preserve">Brand 8</t>
  </si>
  <si>
    <t xml:space="preserve">Brand 9</t>
  </si>
  <si>
    <t xml:space="preserve">Program Name</t>
  </si>
  <si>
    <t xml:space="preserve">Monthly Charge</t>
  </si>
  <si>
    <t xml:space="preserve">Product 1 Surplus</t>
  </si>
  <si>
    <t xml:space="preserve">Product 2 Surplus</t>
  </si>
  <si>
    <t xml:space="preserve">Daily Charge</t>
  </si>
  <si>
    <t xml:space="preserve">% of Monthly Fee for Prodcut 1</t>
  </si>
  <si>
    <t xml:space="preserve">% of Monthly fee for Prodcut 2</t>
  </si>
  <si>
    <t xml:space="preserve">% of Monthly Fee for Plan Cost</t>
  </si>
  <si>
    <t xml:space="preserve">Price of Prodcut 1</t>
  </si>
  <si>
    <t xml:space="preserve">Price of Product 2</t>
  </si>
  <si>
    <t xml:space="preserve">Total Price of Provided Units</t>
  </si>
  <si>
    <t xml:space="preserve">Price of Plan</t>
  </si>
  <si>
    <t xml:space="preserve">Difference</t>
  </si>
  <si>
    <t xml:space="preserve">Target</t>
  </si>
  <si>
    <t xml:space="preserve">Off-Target</t>
  </si>
  <si>
    <t xml:space="preserve">Program 1</t>
  </si>
  <si>
    <t xml:space="preserve">Default Program</t>
  </si>
  <si>
    <t xml:space="preserve">Program 2</t>
  </si>
  <si>
    <t xml:space="preserve">Program 3</t>
  </si>
  <si>
    <t xml:space="preserve">Program 4</t>
  </si>
  <si>
    <t xml:space="preserve">Program 5</t>
  </si>
  <si>
    <t xml:space="preserve">Program 6</t>
  </si>
  <si>
    <t xml:space="preserve">Per Subscriber</t>
  </si>
  <si>
    <t xml:space="preserve">Aggregate</t>
  </si>
  <si>
    <t xml:space="preserve">Profit (EBITDA)</t>
  </si>
  <si>
    <t xml:space="preserve">Total Usage</t>
  </si>
  <si>
    <t xml:space="preserve">MVNO</t>
  </si>
  <si>
    <t xml:space="preserve">Program</t>
  </si>
  <si>
    <t xml:space="preserve">Penetration Rate of Program</t>
  </si>
  <si>
    <t xml:space="preserve">Number of Customers</t>
  </si>
  <si>
    <t xml:space="preserve">Product 1 Portion of Plan</t>
  </si>
  <si>
    <t xml:space="preserve">Product 1 Overage</t>
  </si>
  <si>
    <t xml:space="preserve">Product 2 Overage</t>
  </si>
  <si>
    <t xml:space="preserve">Product 3 Usage</t>
  </si>
  <si>
    <t xml:space="preserve">Product 1 Breakage</t>
  </si>
  <si>
    <t xml:space="preserve">Product 2 Breakage</t>
  </si>
  <si>
    <t xml:space="preserve">Product 1 Units</t>
  </si>
  <si>
    <t xml:space="preserve">Product 2 Messages</t>
  </si>
  <si>
    <t xml:space="preserve">Product 3 Units</t>
  </si>
  <si>
    <t xml:space="preserve">Product 1 Portion</t>
  </si>
  <si>
    <t xml:space="preserve">Product 2 Portion</t>
  </si>
  <si>
    <t xml:space="preserve">Weighted Average</t>
  </si>
  <si>
    <t xml:space="preserve">Aggregate Weighted Average</t>
  </si>
  <si>
    <t xml:space="preserve">Total Revenue</t>
  </si>
  <si>
    <t xml:space="preserve">Total Costs</t>
  </si>
  <si>
    <t xml:space="preserve">Total Units Sold</t>
  </si>
  <si>
    <t xml:space="preserve">Average Total Revenue Per User</t>
  </si>
  <si>
    <t xml:space="preserve">Per User</t>
  </si>
  <si>
    <t xml:space="preserve">Margin</t>
  </si>
  <si>
    <t xml:space="preserve">Entity 2</t>
  </si>
  <si>
    <t xml:space="preserve">Equipment Cost</t>
  </si>
  <si>
    <t xml:space="preserve">Non-Recurring</t>
  </si>
  <si>
    <t xml:space="preserve">Costs</t>
  </si>
  <si>
    <t xml:space="preserve">Shipping Cost</t>
  </si>
  <si>
    <t xml:space="preserve">Activation Commission</t>
  </si>
  <si>
    <t xml:space="preserve">Billing, Office, Bad Debt</t>
  </si>
  <si>
    <t xml:space="preserve">Recurring Commission</t>
  </si>
  <si>
    <t xml:space="preserve">Recurring</t>
  </si>
  <si>
    <t xml:space="preserve">Wholesale Provider Cost</t>
  </si>
  <si>
    <t xml:space="preserve">Marketing Expense</t>
  </si>
  <si>
    <t xml:space="preserve">Annually</t>
  </si>
  <si>
    <t xml:space="preserve">Sales and General Administrative</t>
  </si>
  <si>
    <t xml:space="preserve">Occupancy</t>
  </si>
  <si>
    <t xml:space="preserve">Customer Activation Fee</t>
  </si>
  <si>
    <t xml:space="preserve">One-Time</t>
  </si>
  <si>
    <t xml:space="preserve">Monthly Service Fee</t>
  </si>
  <si>
    <t xml:space="preserve">Churn Rate</t>
  </si>
  <si>
    <t xml:space="preserve">Growth Rate</t>
  </si>
  <si>
    <t xml:space="preserve">Total US Citizens</t>
  </si>
  <si>
    <t xml:space="preserve">Broadband %</t>
  </si>
  <si>
    <t xml:space="preserve">Potential Non-Com Customers</t>
  </si>
  <si>
    <t xml:space="preserve">People Per House</t>
  </si>
  <si>
    <t xml:space="preserve">Total Potential Non-Com Customers</t>
  </si>
  <si>
    <t xml:space="preserve">VoIP Penetration Rate</t>
  </si>
  <si>
    <t xml:space="preserve">Plan Penetration Rates</t>
  </si>
  <si>
    <t xml:space="preserve">Potential Home Business</t>
  </si>
  <si>
    <t xml:space="preserve">Year 1 Customers</t>
  </si>
  <si>
    <t xml:space="preserve">Loaded Monthly Cost</t>
  </si>
  <si>
    <t xml:space="preserve">Core Cost</t>
  </si>
  <si>
    <t xml:space="preserve">Operating Costs</t>
  </si>
  <si>
    <t xml:space="preserve">Startup Costs (as monthly)</t>
  </si>
  <si>
    <t xml:space="preserve">First Year Monthly Fully-Loaded Cost</t>
  </si>
  <si>
    <t xml:space="preserve">First Year Monthly Profit</t>
  </si>
  <si>
    <t xml:space="preserve">Entity 3</t>
  </si>
  <si>
    <t xml:space="preserve">Initial Subs</t>
  </si>
  <si>
    <t xml:space="preserve">Expense</t>
  </si>
  <si>
    <t xml:space="preserve">Product Information</t>
  </si>
  <si>
    <t xml:space="preserve">Wholesale</t>
  </si>
  <si>
    <t xml:space="preserve">Margin %</t>
  </si>
  <si>
    <t xml:space="preserve">B2B Product 1</t>
  </si>
  <si>
    <t xml:space="preserve">Wholesale Cost</t>
  </si>
  <si>
    <t xml:space="preserve">Administrative Costs</t>
  </si>
  <si>
    <t xml:space="preserve">B2B Product 2</t>
  </si>
  <si>
    <t xml:space="preserve">Cost 1</t>
  </si>
  <si>
    <t xml:space="preserve">*Commission</t>
  </si>
  <si>
    <t xml:space="preserve">Incremental Cost 1</t>
  </si>
  <si>
    <t xml:space="preserve">Billing, Back Office Bad Debt</t>
  </si>
  <si>
    <t xml:space="preserve">Operating Expenses</t>
  </si>
  <si>
    <t xml:space="preserve">Per Sub</t>
  </si>
  <si>
    <t xml:space="preserve">Initial Expense</t>
  </si>
  <si>
    <t xml:space="preserve">Total Cost of Goods</t>
  </si>
  <si>
    <t xml:space="preserve">Sales and Marketing</t>
  </si>
  <si>
    <t xml:space="preserve">General Administrative</t>
  </si>
  <si>
    <t xml:space="preserve">Average Incrmeental Use</t>
  </si>
  <si>
    <t xml:space="preserve">Commission Rate</t>
  </si>
  <si>
    <t xml:space="preserve">Average Incremental Cost</t>
  </si>
  <si>
    <t xml:space="preserve">Valuation</t>
  </si>
  <si>
    <t xml:space="preserve">Entity</t>
  </si>
  <si>
    <t xml:space="preserve">Non-Com Cust. Worth</t>
  </si>
  <si>
    <t xml:space="preserve">Com. Cust. Worth</t>
  </si>
  <si>
    <t xml:space="preserve">Earnings Multiplier</t>
  </si>
  <si>
    <t xml:space="preserve">Joint Venture %</t>
  </si>
  <si>
    <t xml:space="preserve">Revenues and Costs Based on Plan-Pricing</t>
  </si>
  <si>
    <t xml:space="preserve">Fixed Costs and Aggregated Per-Unit Costs</t>
  </si>
  <si>
    <t xml:space="preserve">Itemized Costs</t>
  </si>
  <si>
    <t xml:space="preserve">Loaded Per Unit Costs</t>
  </si>
  <si>
    <t xml:space="preserve">Customer Revenue and Costs</t>
  </si>
  <si>
    <t xml:space="preserve">Base Case Projection</t>
  </si>
  <si>
    <t xml:space="preserve">Customers</t>
  </si>
  <si>
    <t xml:space="preserve">Year 1</t>
  </si>
  <si>
    <t xml:space="preserve">Year 2</t>
  </si>
  <si>
    <t xml:space="preserve">Year 3</t>
  </si>
  <si>
    <t xml:space="preserve">Year 4</t>
  </si>
  <si>
    <t xml:space="preserve">Total Subscribers*</t>
  </si>
  <si>
    <t xml:space="preserve">NRC</t>
  </si>
  <si>
    <t xml:space="preserve">RC</t>
  </si>
  <si>
    <t xml:space="preserve">Program Fees Revenue**</t>
  </si>
  <si>
    <t xml:space="preserve">Product 1 Overage Revenue**</t>
  </si>
  <si>
    <t xml:space="preserve">Product 2 Overage Revenue**</t>
  </si>
  <si>
    <t xml:space="preserve">Product 3 Usage Revenue**</t>
  </si>
  <si>
    <t xml:space="preserve">Product 1 "Breakage" Revenue</t>
  </si>
  <si>
    <t xml:space="preserve">Product 2 "Breakage" Revenue</t>
  </si>
  <si>
    <t xml:space="preserve">Customer Equipment Sales</t>
  </si>
  <si>
    <t xml:space="preserve">Customer Activation Fees</t>
  </si>
  <si>
    <t xml:space="preserve">Costs (Averaged per User)</t>
  </si>
  <si>
    <t xml:space="preserve">Costs (Per Unit)</t>
  </si>
  <si>
    <t xml:space="preserve">Fully Loaded Unit Costs</t>
  </si>
  <si>
    <t xml:space="preserve">Branding License Fee</t>
  </si>
  <si>
    <t xml:space="preserve">Dealer Product 1 Commission</t>
  </si>
  <si>
    <t xml:space="preserve">Loaded Product 1 Cost</t>
  </si>
  <si>
    <t xml:space="preserve">Cost of Subscriber Programs</t>
  </si>
  <si>
    <t xml:space="preserve">Subscriber Management</t>
  </si>
  <si>
    <t xml:space="preserve">Loaded Product 2 Cost</t>
  </si>
  <si>
    <t xml:space="preserve">Product 1 Overage Cost</t>
  </si>
  <si>
    <t xml:space="preserve">Product 1 Cost (per unit)</t>
  </si>
  <si>
    <t xml:space="preserve">Loaded Product 3 Cost</t>
  </si>
  <si>
    <t xml:space="preserve">Product 2 Overage Cost</t>
  </si>
  <si>
    <t xml:space="preserve">Product 2 Cost (per unit)</t>
  </si>
  <si>
    <t xml:space="preserve">Product 3 Usage Cost</t>
  </si>
  <si>
    <t xml:space="preserve">Product 3 Cost (per unit)</t>
  </si>
  <si>
    <t xml:space="preserve">Product 1 "Breakage" Cost</t>
  </si>
  <si>
    <t xml:space="preserve">Product 2 "Breakage" Cost</t>
  </si>
  <si>
    <t xml:space="preserve">Product 3 (per 10k)</t>
  </si>
  <si>
    <t xml:space="preserve">Monthly Figurres</t>
  </si>
  <si>
    <t xml:space="preserve">ARPU</t>
  </si>
  <si>
    <t xml:space="preserve">AVG COST</t>
  </si>
  <si>
    <t xml:space="preserve">Gross margin</t>
  </si>
  <si>
    <t xml:space="preserve">Customer Equipment Cost</t>
  </si>
  <si>
    <t xml:space="preserve">Other Activation Costs</t>
  </si>
  <si>
    <t xml:space="preserve">Fixed Costs</t>
  </si>
  <si>
    <t xml:space="preserve">Flat Fee Cost</t>
  </si>
  <si>
    <t xml:space="preserve">Total EBITDA</t>
  </si>
  <si>
    <t xml:space="preserve">Monthly Figures</t>
  </si>
  <si>
    <t xml:space="preserve">Average Revenue from Product 1 Product 1</t>
  </si>
  <si>
    <t xml:space="preserve">Chart 1 Revenue</t>
  </si>
  <si>
    <t xml:space="preserve">Chart 1 Margin</t>
  </si>
  <si>
    <t xml:space="preserve">Chart 2 Revenue</t>
  </si>
  <si>
    <t xml:space="preserve">Chart 2 Margin</t>
  </si>
  <si>
    <t xml:space="preserve">Chart 3 Revenue</t>
  </si>
  <si>
    <t xml:space="preserve">Chart 3 Margin</t>
  </si>
  <si>
    <t xml:space="preserve">Chart 4 Revenue</t>
  </si>
  <si>
    <t xml:space="preserve">Chart 4 Margin</t>
  </si>
  <si>
    <t xml:space="preserve">Revenue Range</t>
  </si>
  <si>
    <t xml:space="preserve">Margin Range</t>
  </si>
  <si>
    <t xml:space="preserve">Average Revenue</t>
  </si>
  <si>
    <t xml:space="preserve">Average Margin</t>
  </si>
  <si>
    <t xml:space="preserve">Brand 1 Annual Revenue from Product 1</t>
  </si>
  <si>
    <t xml:space="preserve">Max to Average %</t>
  </si>
  <si>
    <t xml:space="preserve">Sub Growth</t>
  </si>
  <si>
    <t xml:space="preserve">Min to Average %</t>
  </si>
  <si>
    <t xml:space="preserve">Sub Churn</t>
  </si>
  <si>
    <t xml:space="preserve">Range</t>
  </si>
  <si>
    <t xml:space="preserve">Total New Subs</t>
  </si>
  <si>
    <t xml:space="preserve">Chart 1 Cost</t>
  </si>
  <si>
    <t xml:space="preserve">Chart 1 Gr. Margin</t>
  </si>
  <si>
    <t xml:space="preserve">AVG Competitor</t>
  </si>
  <si>
    <t xml:space="preserve">Us</t>
  </si>
  <si>
    <t xml:space="preserve">Chart 2 Cost</t>
  </si>
  <si>
    <t xml:space="preserve">Chart 2 Gr. Margin</t>
  </si>
  <si>
    <t xml:space="preserve">Chart 3 Cost</t>
  </si>
  <si>
    <t xml:space="preserve">Chart 3 Gr. Margin</t>
  </si>
  <si>
    <t xml:space="preserve">Rev Pecentage for Products 2 &amp; 3</t>
  </si>
  <si>
    <t xml:space="preserve">Chart 4 Cost</t>
  </si>
  <si>
    <t xml:space="preserve">Chart 4 Gr. Margin</t>
  </si>
  <si>
    <t xml:space="preserve">Cost Range</t>
  </si>
  <si>
    <t xml:space="preserve">Gr. Margin Range</t>
  </si>
  <si>
    <t xml:space="preserve">Total Product 1 Usage</t>
  </si>
  <si>
    <t xml:space="preserve">Average Cost</t>
  </si>
  <si>
    <t xml:space="preserve">Average Gr. Margin</t>
  </si>
  <si>
    <t xml:space="preserve">Total Product 2 Usage</t>
  </si>
  <si>
    <t xml:space="preserve">Total Product 1 Units</t>
  </si>
  <si>
    <t xml:space="preserve">Total Product 2 Units</t>
  </si>
  <si>
    <t xml:space="preserve">Total Product 3 Units</t>
  </si>
  <si>
    <t xml:space="preserve">Chart 1 Profit</t>
  </si>
  <si>
    <t xml:space="preserve">Chart 2 Profit</t>
  </si>
  <si>
    <t xml:space="preserve">Chart 3 Profit</t>
  </si>
  <si>
    <t xml:space="preserve">Chart 4 Profit</t>
  </si>
  <si>
    <t xml:space="preserve">Profit Range</t>
  </si>
  <si>
    <t xml:space="preserve">Average Profit</t>
  </si>
  <si>
    <t xml:space="preserve">Fixed Costs and Aggregated Per-Minute Costs</t>
  </si>
  <si>
    <t xml:space="preserve">Aggregated Per-Minute Costs</t>
  </si>
  <si>
    <t xml:space="preserve">Revenue and Costs</t>
  </si>
  <si>
    <t xml:space="preserve">2008-2009</t>
  </si>
  <si>
    <t xml:space="preserve">2009-2010</t>
  </si>
  <si>
    <t xml:space="preserve">2010-2011</t>
  </si>
  <si>
    <t xml:space="preserve">2011-2012</t>
  </si>
  <si>
    <t xml:space="preserve">Prodcut 4</t>
  </si>
  <si>
    <t xml:space="preserve">Equipment Sales</t>
  </si>
  <si>
    <t xml:space="preserve">Variable Costs</t>
  </si>
  <si>
    <t xml:space="preserve">Total Subscriber Growth</t>
  </si>
  <si>
    <t xml:space="preserve">Total Churn</t>
  </si>
  <si>
    <t xml:space="preserve">Total New Customers</t>
  </si>
  <si>
    <t xml:space="preserve">Product Type 1</t>
  </si>
  <si>
    <t xml:space="preserve">Total Subscribers</t>
  </si>
  <si>
    <t xml:space="preserve">Cost of Goods</t>
  </si>
  <si>
    <t xml:space="preserve">Total Operating Expenses</t>
  </si>
  <si>
    <t xml:space="preserve">Based on Output #1</t>
  </si>
  <si>
    <t xml:space="preserve">Based on Output #2</t>
  </si>
  <si>
    <t xml:space="preserve">Based on Output #3</t>
  </si>
  <si>
    <t xml:space="preserve">Based on Output #4</t>
  </si>
  <si>
    <t xml:space="preserve">All Three Entities</t>
  </si>
  <si>
    <t xml:space="preserve">Projected Operational Summary</t>
  </si>
  <si>
    <t xml:space="preserve">Subscribers</t>
  </si>
  <si>
    <t xml:space="preserve">EBITDA</t>
  </si>
  <si>
    <t xml:space="preserve">Year 1 Valuation Analysis</t>
  </si>
  <si>
    <t xml:space="preserve">Year 4 Valuation Analysis</t>
  </si>
  <si>
    <t xml:space="preserve">Average Customer Worth</t>
  </si>
  <si>
    <t xml:space="preserve">Joint-Venture </t>
  </si>
  <si>
    <t xml:space="preserve">Year 1 Subs</t>
  </si>
  <si>
    <t xml:space="preserve">Subscriber Worth</t>
  </si>
  <si>
    <t xml:space="preserve">Joint-Venture Value</t>
  </si>
  <si>
    <t xml:space="preserve">Retained Value</t>
  </si>
  <si>
    <t xml:space="preserve">Year 4 Subs</t>
  </si>
  <si>
    <t xml:space="preserve">Average Non-Com. Cust. Worth</t>
  </si>
  <si>
    <t xml:space="preserve">Joint-Venture</t>
  </si>
  <si>
    <t xml:space="preserve">Average Com. Cust Worth</t>
  </si>
  <si>
    <t xml:space="preserve">Year 1 Earnings</t>
  </si>
  <si>
    <t xml:space="preserve">Value</t>
  </si>
  <si>
    <t xml:space="preserve">Year 4 Earnings</t>
  </si>
  <si>
    <t xml:space="preserve">Total Value</t>
  </si>
  <si>
    <t xml:space="preserve">Precent Retained</t>
  </si>
  <si>
    <t xml:space="preserve">Growth Amount (From 0)</t>
  </si>
  <si>
    <t xml:space="preserve">Growth Amount (FromYear 4)</t>
  </si>
  <si>
    <t xml:space="preserve">Entity 1 Services Subscribers</t>
  </si>
  <si>
    <t xml:space="preserve">Operational</t>
  </si>
  <si>
    <t xml:space="preserve">Estimated Intra-Year Customer-Base Growth</t>
  </si>
  <si>
    <t xml:space="preserve">Total Subs</t>
  </si>
  <si>
    <t xml:space="preserve">Months</t>
  </si>
  <si>
    <t xml:space="preserve">Percentage of Total New Customer Growth</t>
  </si>
  <si>
    <t xml:space="preserve">X</t>
  </si>
  <si>
    <t xml:space="preserve">Month</t>
  </si>
  <si>
    <t xml:space="preserve">Percentage</t>
  </si>
  <si>
    <t xml:space="preserve">Blocks</t>
  </si>
  <si>
    <t xml:space="preserve">Possible</t>
  </si>
  <si>
    <t xml:space="preserve">Potential</t>
  </si>
  <si>
    <t xml:space="preserve">Average</t>
  </si>
  <si>
    <t xml:space="preserve">Month Number</t>
  </si>
  <si>
    <t xml:space="preserve">Revenue Model</t>
  </si>
  <si>
    <t xml:space="preserve">Revenue Blocks</t>
  </si>
  <si>
    <t xml:space="preserve">Monthly Revenue %</t>
  </si>
  <si>
    <t xml:space="preserve">Cumulative Revenue %</t>
  </si>
  <si>
    <t xml:space="preserve">Subs</t>
  </si>
  <si>
    <t xml:space="preserve">Entity 2 Subscribers</t>
  </si>
  <si>
    <t xml:space="preserve">Equation</t>
  </si>
  <si>
    <t xml:space="preserve">Filled Blocks</t>
  </si>
  <si>
    <t xml:space="preserve">Overall Percentage of Maximum</t>
  </si>
  <si>
    <t xml:space="preserve">Competitor Prices (per Product 1)</t>
  </si>
  <si>
    <t xml:space="preserve">(Plans as of September, 12, 2008)</t>
  </si>
  <si>
    <t xml:space="preserve">for Product 1</t>
  </si>
  <si>
    <t xml:space="preserve">Entity 1 Price Advantage</t>
  </si>
  <si>
    <t xml:space="preserve">Company 1</t>
  </si>
  <si>
    <t xml:space="preserve">Company 6</t>
  </si>
  <si>
    <t xml:space="preserve">Product A</t>
  </si>
  <si>
    <t xml:space="preserve">Rate</t>
  </si>
  <si>
    <t xml:space="preserve">Entity 2 Advantage</t>
  </si>
  <si>
    <t xml:space="preserve">Product B</t>
  </si>
  <si>
    <t xml:space="preserve">Company 12 - Product 1</t>
  </si>
  <si>
    <t xml:space="preserve">Product C</t>
  </si>
  <si>
    <t xml:space="preserve">Company 12 - Product 2</t>
  </si>
  <si>
    <t xml:space="preserve">Product D</t>
  </si>
  <si>
    <t xml:space="preserve">Entity 2 - Product 2</t>
  </si>
  <si>
    <t xml:space="preserve">Product E</t>
  </si>
  <si>
    <t xml:space="preserve">Entity 2 - Product 1</t>
  </si>
  <si>
    <t xml:space="preserve">Product F</t>
  </si>
  <si>
    <t xml:space="preserve">Entity 2 - Product 3</t>
  </si>
  <si>
    <t xml:space="preserve">Product G</t>
  </si>
  <si>
    <t xml:space="preserve">Company 7</t>
  </si>
  <si>
    <t xml:space="preserve">Note: Prices do not include taxes</t>
  </si>
  <si>
    <t xml:space="preserve">Company 2</t>
  </si>
  <si>
    <t xml:space="preserve">Included with Monthly Service Charge</t>
  </si>
  <si>
    <t xml:space="preserve">Product Service</t>
  </si>
  <si>
    <t xml:space="preserve">Company 12</t>
  </si>
  <si>
    <t xml:space="preserve">Service Portion A</t>
  </si>
  <si>
    <t xml:space="preserve">Yes</t>
  </si>
  <si>
    <t xml:space="preserve">Service Portion B</t>
  </si>
  <si>
    <t xml:space="preserve">Service Portion C</t>
  </si>
  <si>
    <t xml:space="preserve">Company 8</t>
  </si>
  <si>
    <t xml:space="preserve">Service Portion D</t>
  </si>
  <si>
    <t xml:space="preserve">Service Portion E</t>
  </si>
  <si>
    <t xml:space="preserve">Product H</t>
  </si>
  <si>
    <t xml:space="preserve">Service Portion F</t>
  </si>
  <si>
    <t xml:space="preserve">Product I</t>
  </si>
  <si>
    <t xml:space="preserve">Service Portion G</t>
  </si>
  <si>
    <t xml:space="preserve">Product J</t>
  </si>
  <si>
    <t xml:space="preserve">Service Portion H</t>
  </si>
  <si>
    <t xml:space="preserve">Product K</t>
  </si>
  <si>
    <t xml:space="preserve">Service Portion I</t>
  </si>
  <si>
    <t xml:space="preserve">Company 3</t>
  </si>
  <si>
    <t xml:space="preserve">Service Portion J</t>
  </si>
  <si>
    <t xml:space="preserve">Service Portion K</t>
  </si>
  <si>
    <t xml:space="preserve">Service Portion L</t>
  </si>
  <si>
    <t xml:space="preserve">Service Portion M</t>
  </si>
  <si>
    <t xml:space="preserve">Company 9</t>
  </si>
  <si>
    <t xml:space="preserve">Service Portion N</t>
  </si>
  <si>
    <t xml:space="preserve">Service Portion O</t>
  </si>
  <si>
    <t xml:space="preserve">Service Portion P</t>
  </si>
  <si>
    <t xml:space="preserve">Service Portion Q</t>
  </si>
  <si>
    <t xml:space="preserve">Service Portion R</t>
  </si>
  <si>
    <t xml:space="preserve">Service Portion S</t>
  </si>
  <si>
    <t xml:space="preserve">Service Portion T</t>
  </si>
  <si>
    <t xml:space="preserve">Company 4</t>
  </si>
  <si>
    <t xml:space="preserve">Company 10</t>
  </si>
  <si>
    <t xml:space="preserve">Company 11</t>
  </si>
  <si>
    <t xml:space="preserve">Company 5</t>
  </si>
  <si>
    <t xml:space="preserve">All Products</t>
  </si>
  <si>
    <t xml:space="preserve">*includes bonus A</t>
  </si>
  <si>
    <t xml:space="preserve">*** Includes bonus D</t>
  </si>
  <si>
    <t xml:space="preserve">** includes bonus B</t>
  </si>
  <si>
    <t xml:space="preserve">**** Has tiered bonuses</t>
  </si>
  <si>
    <t xml:space="preserve">****** includes bonus C</t>
  </si>
  <si>
    <t xml:space="preserve">***** Includes bonus E</t>
  </si>
  <si>
    <t xml:space="preserve">Note: At this time there is no way to properly weight the values by the number of consumers using each</t>
  </si>
  <si>
    <t xml:space="preserve">Column A</t>
  </si>
  <si>
    <t xml:space="preserve">Column B</t>
  </si>
  <si>
    <t xml:space="preserve">cost / (off-peak + peak) = cost per minute</t>
  </si>
  <si>
    <t xml:space="preserve">Dealer Incentive - Version 1</t>
  </si>
  <si>
    <t xml:space="preserve">Dealer Incentive - Version 2</t>
  </si>
  <si>
    <t xml:space="preserve">General Performance and Dealer Incentive</t>
  </si>
  <si>
    <t xml:space="preserve">Projection Chart</t>
  </si>
  <si>
    <t xml:space="preserve">Dealer Commission Rates</t>
  </si>
  <si>
    <t xml:space="preserve">Average Product 1 Revenue per Subscriber</t>
  </si>
  <si>
    <t xml:space="preserve">Total Projected Product 1 Service Revenue</t>
  </si>
  <si>
    <t xml:space="preserve">Average Retail Price</t>
  </si>
  <si>
    <t xml:space="preserve">Per-Unit Profit</t>
  </si>
  <si>
    <t xml:space="preserve">Dealer Commission Rate</t>
  </si>
  <si>
    <t xml:space="preserve">Total Projected Service Commission</t>
  </si>
  <si>
    <t xml:space="preserve">Average Monthly Commission per User</t>
  </si>
  <si>
    <t xml:space="preserve">Total Monthly Minutes Used</t>
  </si>
  <si>
    <t xml:space="preserve">(based on average minutes per user)</t>
  </si>
  <si>
    <t xml:space="preserve">Total Annual Minutes Used</t>
  </si>
  <si>
    <t xml:space="preserve">Total Customer Equipments Sold</t>
  </si>
  <si>
    <t xml:space="preserve">Inidivual Dealer Commission</t>
  </si>
  <si>
    <t xml:space="preserve">Expected Sales</t>
  </si>
  <si>
    <t xml:space="preserve">Total Projected Revenue</t>
  </si>
  <si>
    <t xml:space="preserve">Monthly Commission</t>
  </si>
  <si>
    <t xml:space="preserve">Annual Product 1 Revenue</t>
  </si>
  <si>
    <t xml:space="preserve">Annual Commission</t>
  </si>
  <si>
    <t xml:space="preserve">Annual Hanset Revenue</t>
  </si>
  <si>
    <t xml:space="preserve">Summary:</t>
  </si>
  <si>
    <t xml:space="preserve">Cost of Subscriber Plans</t>
  </si>
  <si>
    <t xml:space="preserve">Total Dealer Earnings</t>
  </si>
  <si>
    <t xml:space="preserve">Total Product 1 Commission</t>
  </si>
  <si>
    <t xml:space="preserve">Total Customer Equipment Profit</t>
  </si>
  <si>
    <t xml:space="preserve">Total Dealer Profit</t>
  </si>
  <si>
    <t xml:space="preserve">Expected Units Sold per Week in Year 1</t>
  </si>
  <si>
    <t xml:space="preserve">Annual Product 1 Commission</t>
  </si>
  <si>
    <t xml:space="preserve">Annual Customer Equipments</t>
  </si>
  <si>
    <t xml:space="preserve">Annual Total</t>
  </si>
  <si>
    <t xml:space="preserve">Flat Operational Fee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</si>
</sst>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\$#,##0.00_);[RED]&quot;($&quot;#,##0.00\)"/>
    <numFmt numFmtId="166" formatCode="#,##0"/>
    <numFmt numFmtId="167" formatCode="\$#,##0.000"/>
    <numFmt numFmtId="168" formatCode="\$#,##0.00"/>
    <numFmt numFmtId="169" formatCode="\$#,##0.0000"/>
    <numFmt numFmtId="170" formatCode="\$#,##0.000_);[RED]&quot;($&quot;#,##0.000\)"/>
    <numFmt numFmtId="171" formatCode="0.00%"/>
    <numFmt numFmtId="172" formatCode="0"/>
    <numFmt numFmtId="173" formatCode="0%"/>
    <numFmt numFmtId="174" formatCode="\$#,##0_);[RED]&quot;($&quot;#,##0\)"/>
    <numFmt numFmtId="175" formatCode="#,##0.00_);[RED]\(#,##0.00\)"/>
    <numFmt numFmtId="176" formatCode="#,##0.0"/>
    <numFmt numFmtId="177" formatCode="\$#,##0.0000_);[RED]&quot;($&quot;#,##0.0000\)"/>
    <numFmt numFmtId="178" formatCode="\$#,##0.00000"/>
    <numFmt numFmtId="179" formatCode="\$#,##0.00000_);[RED]&quot;($&quot;#,##0.00000\)"/>
    <numFmt numFmtId="180" formatCode="0.000"/>
    <numFmt numFmtId="181" formatCode="#,##0.00"/>
    <numFmt numFmtId="182" formatCode="#,##0_);[RED]\(#,##0\)"/>
    <numFmt numFmtId="183" formatCode="\$#,##0"/>
    <numFmt numFmtId="184" formatCode="\$#,##0.00_);&quot;($&quot;#,##0.00\)"/>
    <numFmt numFmtId="185" formatCode="0.000%"/>
    <numFmt numFmtId="186" formatCode="\$#,##0.0_);[RED]&quot;($&quot;#,##0.0\)"/>
    <numFmt numFmtId="187" formatCode="0.0%"/>
    <numFmt numFmtId="188" formatCode="MMM&quot;, &quot;YYYY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2"/>
    </font>
    <font>
      <b val="true"/>
      <sz val="5"/>
      <color rgb="FF000000"/>
      <name val="Arial"/>
      <family val="2"/>
    </font>
    <font>
      <b val="true"/>
      <sz val="12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5" fillId="6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7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1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1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5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4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5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83" fontId="5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8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8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8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" fillId="8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" fillId="8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" fillId="8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8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1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1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1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4" fillId="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8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8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4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5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8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5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3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5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7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7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view3D>
      <c:rotX val="15"/>
      <c:rotY val="20"/>
      <c:rAngAx val="1"/>
      <c:perspective val="30"/>
    </c:view3D>
    <c:floor>
      <c:spPr>
        <a:noFill/>
        <a:ln>
          <a:noFill/>
        </a:ln>
      </c:spPr>
    </c:floor>
    <c:backWall>
      <c:spPr>
        <a:noFill/>
        <a:ln>
          <a:noFill/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>
              <a:noFill/>
            </a:ln>
          </c:spPr>
          <c:invertIfNegative val="0"/>
          <c:dPt>
            <c:idx val="0"/>
            <c:spPr>
              <a:solidFill>
                <a:srgbClr val="004586"/>
              </a:solidFill>
              <a:ln>
                <a:noFill/>
              </a:ln>
            </c:spPr>
          </c:dPt>
          <c:dPt>
            <c:idx val="1"/>
            <c:spPr>
              <a:solidFill>
                <a:srgbClr val="ff420e"/>
              </a:solidFill>
              <a:ln>
                <a:noFill/>
              </a:ln>
            </c:spPr>
          </c:dPt>
          <c:dPt>
            <c:idx val="2"/>
            <c:spPr>
              <a:solidFill>
                <a:srgbClr val="ffd320"/>
              </a:solidFill>
              <a:ln>
                <a:noFill/>
              </a:ln>
            </c:spPr>
          </c:dPt>
          <c:dPt>
            <c:idx val="3"/>
            <c:spPr>
              <a:solidFill>
                <a:srgbClr val="579d1c"/>
              </a:solidFill>
              <a:ln>
                <a:noFill/>
              </a:ln>
            </c:spPr>
          </c:dPt>
          <c:dPt>
            <c:idx val="4"/>
            <c:spPr>
              <a:solidFill>
                <a:srgbClr val="7e0021"/>
              </a:solidFill>
              <a:ln>
                <a:noFill/>
              </a:ln>
            </c:spPr>
          </c:dPt>
          <c:dPt>
            <c:idx val="5"/>
            <c:spPr>
              <a:solidFill>
                <a:srgbClr val="83caff"/>
              </a:solidFill>
              <a:ln>
                <a:noFill/>
              </a:ln>
            </c:spPr>
          </c:dPt>
          <c:dPt>
            <c:idx val="6"/>
            <c:spPr>
              <a:solidFill>
                <a:srgbClr val="314004"/>
              </a:solidFill>
              <a:ln>
                <a:noFill/>
              </a:ln>
            </c:spPr>
          </c:dPt>
          <c:dPt>
            <c:idx val="7"/>
            <c:spPr>
              <a:solidFill>
                <a:srgbClr val="aecf00"/>
              </a:solidFill>
              <a:ln>
                <a:noFill/>
              </a:ln>
            </c:spPr>
          </c:dPt>
          <c:dPt>
            <c:idx val="8"/>
            <c:spPr>
              <a:solidFill>
                <a:srgbClr val="4b1f6f"/>
              </a:solidFill>
              <a:ln>
                <a:noFill/>
              </a:ln>
            </c:spPr>
          </c:dPt>
          <c:dPt>
            <c:idx val="9"/>
            <c:spPr>
              <a:solidFill>
                <a:srgbClr val="ff950e"/>
              </a:solidFill>
              <a:ln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>
                <a:noFill/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'Customer Growth'!$AF$3:$AF$14</c:f>
              <c:numCache>
                <c:formatCode>General</c:formatCode>
                <c:ptCount val="12"/>
                <c:pt idx="0">
                  <c:v>0</c:v>
                </c:pt>
                <c:pt idx="1">
                  <c:v>0.01315789474</c:v>
                </c:pt>
                <c:pt idx="2">
                  <c:v>0.01315789474</c:v>
                </c:pt>
                <c:pt idx="3">
                  <c:v>0.02631578947</c:v>
                </c:pt>
                <c:pt idx="4">
                  <c:v>0.02631578947</c:v>
                </c:pt>
                <c:pt idx="5">
                  <c:v>0.03947368421</c:v>
                </c:pt>
                <c:pt idx="6">
                  <c:v>0.05263157895</c:v>
                </c:pt>
                <c:pt idx="7">
                  <c:v>0.07894736842</c:v>
                </c:pt>
                <c:pt idx="8">
                  <c:v>0.1052631579</c:v>
                </c:pt>
                <c:pt idx="9">
                  <c:v>0.1578947368</c:v>
                </c:pt>
                <c:pt idx="10">
                  <c:v>0.2236842105</c:v>
                </c:pt>
                <c:pt idx="11">
                  <c:v>0.2631578947</c:v>
                </c:pt>
              </c:numCache>
            </c:numRef>
          </c:val>
        </c:ser>
        <c:gapWidth val="150"/>
        <c:shape val="box"/>
        <c:axId val="38850651"/>
        <c:axId val="38409952"/>
        <c:axId val="0"/>
      </c:bar3DChart>
      <c:catAx>
        <c:axId val="388506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8409952"/>
        <c:crosses val="autoZero"/>
        <c:auto val="1"/>
        <c:lblAlgn val="ctr"/>
        <c:lblOffset val="100"/>
      </c:catAx>
      <c:valAx>
        <c:axId val="38409952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numFmt formatCode="General" sourceLinked="0"/>
        <c:majorTickMark val="cross"/>
        <c:minorTickMark val="cross"/>
        <c:tickLblPos val="nextTo"/>
        <c:spPr>
          <a:ln w="47520">
            <a:noFill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8850651"/>
        <c:crosses val="autoZero"/>
      </c:valAx>
      <c:spPr>
        <a:noFill/>
        <a:ln>
          <a:noFill/>
        </a:ln>
      </c:spPr>
    </c:plotArea>
    <c:plotVisOnly val="1"/>
    <c:dispBlanksAs val="zero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varyColors val="0"/>
        <c:ser>
          <c:idx val="0"/>
          <c:order val="0"/>
          <c:spPr>
            <a:solidFill>
              <a:srgbClr val="000080"/>
            </a:solidFill>
            <a:ln w="936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'Customer Growth'!$AF$3:$AF$14</c:f>
              <c:numCache>
                <c:formatCode>General</c:formatCode>
                <c:ptCount val="12"/>
                <c:pt idx="0">
                  <c:v>0</c:v>
                </c:pt>
                <c:pt idx="1">
                  <c:v>0.01315789474</c:v>
                </c:pt>
                <c:pt idx="2">
                  <c:v>0.01315789474</c:v>
                </c:pt>
                <c:pt idx="3">
                  <c:v>0.02631578947</c:v>
                </c:pt>
                <c:pt idx="4">
                  <c:v>0.02631578947</c:v>
                </c:pt>
                <c:pt idx="5">
                  <c:v>0.03947368421</c:v>
                </c:pt>
                <c:pt idx="6">
                  <c:v>0.05263157895</c:v>
                </c:pt>
                <c:pt idx="7">
                  <c:v>0.07894736842</c:v>
                </c:pt>
                <c:pt idx="8">
                  <c:v>0.1052631579</c:v>
                </c:pt>
                <c:pt idx="9">
                  <c:v>0.1578947368</c:v>
                </c:pt>
                <c:pt idx="10">
                  <c:v>0.2236842105</c:v>
                </c:pt>
                <c:pt idx="11">
                  <c:v>0.2631578947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57581548"/>
        <c:axId val="16146845"/>
      </c:lineChart>
      <c:catAx>
        <c:axId val="575815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1" sz="5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6146845"/>
        <c:crosses val="autoZero"/>
        <c:auto val="1"/>
        <c:lblAlgn val="ctr"/>
        <c:lblOffset val="100"/>
      </c:catAx>
      <c:valAx>
        <c:axId val="16146845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numFmt formatCode="General" sourceLinked="0"/>
        <c:majorTickMark val="cross"/>
        <c:minorTickMark val="cross"/>
        <c:tickLblPos val="nextTo"/>
        <c:spPr>
          <a:ln w="47520">
            <a:noFill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758154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zero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32</xdr:col>
      <xdr:colOff>743040</xdr:colOff>
      <xdr:row>2</xdr:row>
      <xdr:rowOff>114480</xdr:rowOff>
    </xdr:from>
    <xdr:to>
      <xdr:col>41</xdr:col>
      <xdr:colOff>590400</xdr:colOff>
      <xdr:row>25</xdr:row>
      <xdr:rowOff>57240</xdr:rowOff>
    </xdr:to>
    <xdr:graphicFrame>
      <xdr:nvGraphicFramePr>
        <xdr:cNvPr id="0" name="Chart 1"/>
        <xdr:cNvGraphicFramePr/>
      </xdr:nvGraphicFramePr>
      <xdr:xfrm>
        <a:off x="19279080" y="457200"/>
        <a:ext cx="5733720" cy="375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33</xdr:col>
      <xdr:colOff>171360</xdr:colOff>
      <xdr:row>26</xdr:row>
      <xdr:rowOff>133200</xdr:rowOff>
    </xdr:from>
    <xdr:to>
      <xdr:col>38</xdr:col>
      <xdr:colOff>43920</xdr:colOff>
      <xdr:row>39</xdr:row>
      <xdr:rowOff>37440</xdr:rowOff>
    </xdr:to>
    <xdr:graphicFrame>
      <xdr:nvGraphicFramePr>
        <xdr:cNvPr id="1" name="Chart 2"/>
        <xdr:cNvGraphicFramePr/>
      </xdr:nvGraphicFramePr>
      <xdr:xfrm>
        <a:off x="19513800" y="4457520"/>
        <a:ext cx="3047760" cy="206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RowHeight="15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32.57"/>
    <col collapsed="false" customWidth="true" hidden="false" outlineLevel="0" max="3" min="3" style="0" width="27.86"/>
    <col collapsed="false" customWidth="true" hidden="false" outlineLevel="0" max="4" min="4" style="0" width="21.14"/>
    <col collapsed="false" customWidth="true" hidden="false" outlineLevel="0" max="5" min="5" style="0" width="16.43"/>
    <col collapsed="false" customWidth="true" hidden="false" outlineLevel="0" max="6" min="6" style="0" width="21.86"/>
    <col collapsed="false" customWidth="true" hidden="false" outlineLevel="0" max="7" min="7" style="0" width="28.99"/>
    <col collapsed="false" customWidth="true" hidden="false" outlineLevel="0" max="8" min="8" style="0" width="23.87"/>
    <col collapsed="false" customWidth="true" hidden="false" outlineLevel="0" max="9" min="9" style="0" width="22.43"/>
    <col collapsed="false" customWidth="true" hidden="false" outlineLevel="0" max="10" min="10" style="0" width="24.29"/>
    <col collapsed="false" customWidth="true" hidden="false" outlineLevel="0" max="11" min="11" style="0" width="19.43"/>
    <col collapsed="false" customWidth="true" hidden="false" outlineLevel="0" max="12" min="12" style="0" width="25.71"/>
    <col collapsed="false" customWidth="true" hidden="false" outlineLevel="0" max="13" min="13" style="0" width="38.43"/>
    <col collapsed="false" customWidth="true" hidden="false" outlineLevel="0" max="14" min="14" style="0" width="26.58"/>
    <col collapsed="false" customWidth="true" hidden="false" outlineLevel="0" max="15" min="15" style="0" width="31.86"/>
    <col collapsed="false" customWidth="true" hidden="false" outlineLevel="0" max="16" min="16" style="0" width="25.71"/>
    <col collapsed="false" customWidth="true" hidden="false" outlineLevel="0" max="17" min="17" style="0" width="24.57"/>
    <col collapsed="false" customWidth="true" hidden="false" outlineLevel="0" max="18" min="18" style="0" width="25"/>
    <col collapsed="false" customWidth="true" hidden="false" outlineLevel="0" max="19" min="19" style="0" width="25.71"/>
    <col collapsed="false" customWidth="true" hidden="false" outlineLevel="0" max="20" min="20" style="0" width="29.29"/>
    <col collapsed="false" customWidth="true" hidden="false" outlineLevel="0" max="21" min="21" style="0" width="25"/>
    <col collapsed="false" customWidth="true" hidden="false" outlineLevel="0" max="22" min="22" style="0" width="23.87"/>
    <col collapsed="false" customWidth="true" hidden="false" outlineLevel="0" max="23" min="23" style="0" width="16"/>
    <col collapsed="false" customWidth="true" hidden="false" outlineLevel="0" max="24" min="24" style="0" width="17.29"/>
    <col collapsed="false" customWidth="true" hidden="false" outlineLevel="0" max="25" min="25" style="0" width="12.29"/>
    <col collapsed="false" customWidth="true" hidden="false" outlineLevel="0" max="26" min="26" style="0" width="13.7"/>
    <col collapsed="false" customWidth="true" hidden="false" outlineLevel="0" max="27" min="27" style="0" width="12.71"/>
    <col collapsed="false" customWidth="true" hidden="false" outlineLevel="0" max="28" min="28" style="0" width="32.71"/>
    <col collapsed="false" customWidth="true" hidden="false" outlineLevel="0" max="29" min="29" style="0" width="16.43"/>
    <col collapsed="false" customWidth="true" hidden="false" outlineLevel="0" max="30" min="30" style="0" width="18.43"/>
    <col collapsed="false" customWidth="true" hidden="false" outlineLevel="0" max="31" min="31" style="0" width="18"/>
    <col collapsed="false" customWidth="true" hidden="false" outlineLevel="0" max="33" min="32" style="0" width="14.43"/>
    <col collapsed="false" customWidth="true" hidden="false" outlineLevel="0" max="34" min="34" style="0" width="18.58"/>
    <col collapsed="false" customWidth="true" hidden="false" outlineLevel="0" max="36" min="35" style="0" width="16.43"/>
    <col collapsed="false" customWidth="true" hidden="false" outlineLevel="0" max="37" min="37" style="0" width="16.14"/>
    <col collapsed="false" customWidth="true" hidden="false" outlineLevel="0" max="38" min="38" style="0" width="18.43"/>
    <col collapsed="false" customWidth="true" hidden="false" outlineLevel="0" max="39" min="39" style="0" width="17.29"/>
    <col collapsed="false" customWidth="true" hidden="false" outlineLevel="0" max="40" min="40" style="0" width="14.29"/>
    <col collapsed="false" customWidth="true" hidden="false" outlineLevel="0" max="41" min="41" style="0" width="13.29"/>
    <col collapsed="false" customWidth="true" hidden="false" outlineLevel="0" max="42" min="42" style="0" width="16.14"/>
    <col collapsed="false" customWidth="true" hidden="false" outlineLevel="0" max="43" min="43" style="0" width="17"/>
    <col collapsed="false" customWidth="true" hidden="false" outlineLevel="0" max="44" min="44" style="0" width="16.29"/>
    <col collapsed="false" customWidth="true" hidden="false" outlineLevel="0" max="45" min="45" style="0" width="18.43"/>
    <col collapsed="false" customWidth="true" hidden="false" outlineLevel="0" max="46" min="46" style="0" width="23.87"/>
    <col collapsed="false" customWidth="true" hidden="false" outlineLevel="0" max="47" min="47" style="0" width="25"/>
    <col collapsed="false" customWidth="true" hidden="false" outlineLevel="0" max="48" min="48" style="0" width="23.87"/>
    <col collapsed="false" customWidth="true" hidden="false" outlineLevel="0" max="49" min="49" style="0" width="16"/>
    <col collapsed="false" customWidth="true" hidden="false" outlineLevel="0" max="50" min="50" style="0" width="16.43"/>
    <col collapsed="false" customWidth="true" hidden="false" outlineLevel="0" max="51" min="51" style="0" width="14.7"/>
    <col collapsed="false" customWidth="true" hidden="false" outlineLevel="0" max="52" min="52" style="0" width="13.29"/>
    <col collapsed="false" customWidth="true" hidden="false" outlineLevel="0" max="53" min="53" style="0" width="9"/>
    <col collapsed="false" customWidth="true" hidden="false" outlineLevel="0" max="54" min="54" style="0" width="17.71"/>
    <col collapsed="false" customWidth="true" hidden="false" outlineLevel="0" max="55" min="55" style="0" width="16.57"/>
    <col collapsed="false" customWidth="true" hidden="false" outlineLevel="0" max="65" min="56" style="0" width="9"/>
    <col collapsed="false" customWidth="true" hidden="false" outlineLevel="0" max="1025" min="66" style="0" width="14.43"/>
  </cols>
  <sheetData>
    <row r="1" customFormat="false" ht="13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4"/>
      <c r="AW1" s="5"/>
      <c r="AX1" s="6"/>
      <c r="AY1" s="5"/>
      <c r="AZ1" s="7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customFormat="false" ht="12.75" hidden="false" customHeight="true" outlineLevel="0" collapsed="false">
      <c r="A2" s="1"/>
      <c r="B2" s="8" t="s">
        <v>1</v>
      </c>
      <c r="C2" s="9" t="n">
        <f aca="false">SUM(C3:C6)</f>
        <v>5.27</v>
      </c>
      <c r="D2" s="10" t="s">
        <v>2</v>
      </c>
      <c r="E2" s="11"/>
      <c r="F2" s="12" t="s">
        <v>3</v>
      </c>
      <c r="G2" s="13"/>
      <c r="H2" s="13"/>
      <c r="I2" s="14"/>
      <c r="J2" s="2"/>
      <c r="K2" s="15" t="s">
        <v>4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7"/>
      <c r="Y2" s="18" t="s">
        <v>5</v>
      </c>
      <c r="Z2" s="2"/>
      <c r="AA2" s="2"/>
      <c r="AB2" s="19" t="s">
        <v>6</v>
      </c>
      <c r="AC2" s="13"/>
      <c r="AD2" s="13"/>
      <c r="AE2" s="14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4"/>
      <c r="AY2" s="5"/>
      <c r="AZ2" s="6"/>
      <c r="BA2" s="5"/>
      <c r="BB2" s="7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customFormat="false" ht="13.5" hidden="false" customHeight="true" outlineLevel="0" collapsed="false">
      <c r="A3" s="1"/>
      <c r="B3" s="20" t="s">
        <v>7</v>
      </c>
      <c r="C3" s="21" t="n">
        <v>3.37</v>
      </c>
      <c r="D3" s="22" t="s">
        <v>8</v>
      </c>
      <c r="E3" s="23" t="n">
        <f aca="false">(AD135+BB135)/AY135</f>
        <v>0.112966468951225</v>
      </c>
      <c r="F3" s="24" t="s">
        <v>9</v>
      </c>
      <c r="G3" s="2" t="s">
        <v>10</v>
      </c>
      <c r="H3" s="2" t="s">
        <v>11</v>
      </c>
      <c r="I3" s="25" t="s">
        <v>12</v>
      </c>
      <c r="J3" s="2"/>
      <c r="K3" s="26" t="s">
        <v>13</v>
      </c>
      <c r="L3" s="27" t="s">
        <v>14</v>
      </c>
      <c r="M3" s="27" t="s">
        <v>15</v>
      </c>
      <c r="N3" s="27" t="s">
        <v>16</v>
      </c>
      <c r="O3" s="27" t="s">
        <v>17</v>
      </c>
      <c r="P3" s="27" t="s">
        <v>18</v>
      </c>
      <c r="Q3" s="27" t="s">
        <v>19</v>
      </c>
      <c r="R3" s="27" t="s">
        <v>20</v>
      </c>
      <c r="S3" s="27" t="s">
        <v>21</v>
      </c>
      <c r="T3" s="27" t="s">
        <v>22</v>
      </c>
      <c r="U3" s="27" t="s">
        <v>23</v>
      </c>
      <c r="V3" s="27" t="s">
        <v>12</v>
      </c>
      <c r="W3" s="27" t="s">
        <v>24</v>
      </c>
      <c r="X3" s="28" t="s">
        <v>25</v>
      </c>
      <c r="Y3" s="29" t="s">
        <v>26</v>
      </c>
      <c r="Z3" s="2"/>
      <c r="AA3" s="2"/>
      <c r="AB3" s="30" t="s">
        <v>9</v>
      </c>
      <c r="AC3" s="31" t="s">
        <v>27</v>
      </c>
      <c r="AD3" s="31" t="s">
        <v>28</v>
      </c>
      <c r="AE3" s="32" t="s">
        <v>29</v>
      </c>
      <c r="AF3" s="2"/>
      <c r="AG3" s="2"/>
      <c r="AH3" s="2"/>
      <c r="AI3" s="2"/>
      <c r="AJ3" s="2"/>
      <c r="AK3" s="2"/>
      <c r="AL3" s="2"/>
      <c r="AM3" s="2"/>
      <c r="AN3" s="7"/>
      <c r="AO3" s="2"/>
      <c r="AP3" s="2"/>
      <c r="AQ3" s="2"/>
      <c r="AR3" s="2"/>
      <c r="AS3" s="2"/>
      <c r="AT3" s="2"/>
      <c r="AU3" s="33"/>
      <c r="AV3" s="2"/>
      <c r="AW3" s="2"/>
      <c r="AX3" s="4"/>
      <c r="AY3" s="5"/>
      <c r="AZ3" s="6"/>
      <c r="BA3" s="5"/>
      <c r="BB3" s="7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customFormat="false" ht="12.75" hidden="false" customHeight="true" outlineLevel="0" collapsed="false">
      <c r="A4" s="2"/>
      <c r="B4" s="20" t="s">
        <v>30</v>
      </c>
      <c r="C4" s="21" t="n">
        <v>0.35</v>
      </c>
      <c r="D4" s="22" t="s">
        <v>31</v>
      </c>
      <c r="E4" s="23" t="n">
        <f aca="false">(AE135+BC135)/AZ135</f>
        <v>0.111832410579194</v>
      </c>
      <c r="F4" s="24" t="s">
        <v>32</v>
      </c>
      <c r="G4" s="34" t="n">
        <v>5000</v>
      </c>
      <c r="H4" s="7" t="n">
        <f aca="false">C16</f>
        <v>3.81</v>
      </c>
      <c r="I4" s="35" t="n">
        <f aca="false">G4*H4</f>
        <v>19050</v>
      </c>
      <c r="J4" s="2"/>
      <c r="K4" s="36"/>
      <c r="L4" s="21" t="n">
        <v>99</v>
      </c>
      <c r="M4" s="3"/>
      <c r="N4" s="21" t="n">
        <v>9</v>
      </c>
      <c r="O4" s="21" t="n">
        <v>5</v>
      </c>
      <c r="P4" s="21" t="n">
        <f aca="false">0.85*4</f>
        <v>3.4</v>
      </c>
      <c r="Q4" s="7"/>
      <c r="R4" s="37" t="n">
        <f aca="false">SUM(N4:P4,L4,Q4)</f>
        <v>116.4</v>
      </c>
      <c r="S4" s="7" t="n">
        <f aca="false">Q4+R4-SUM(L4:P4)</f>
        <v>0</v>
      </c>
      <c r="T4" s="38"/>
      <c r="U4" s="5" t="n">
        <f aca="false">T4*$D$39</f>
        <v>0</v>
      </c>
      <c r="V4" s="7" t="n">
        <f aca="false">U4*L4</f>
        <v>0</v>
      </c>
      <c r="W4" s="7" t="n">
        <f aca="false">U4*R4</f>
        <v>0</v>
      </c>
      <c r="X4" s="35" t="n">
        <f aca="false">W4-V4</f>
        <v>0</v>
      </c>
      <c r="Y4" s="39" t="n">
        <f aca="false">-S4/(SUM(L4,M4,N4,O4,P4))</f>
        <v>-0</v>
      </c>
      <c r="Z4" s="2"/>
      <c r="AA4" s="2"/>
      <c r="AB4" s="36"/>
      <c r="AC4" s="40"/>
      <c r="AD4" s="40"/>
      <c r="AE4" s="41"/>
      <c r="AF4" s="2"/>
      <c r="AG4" s="2"/>
      <c r="AH4" s="2"/>
      <c r="AI4" s="2"/>
      <c r="AJ4" s="2"/>
      <c r="AK4" s="2"/>
      <c r="AL4" s="2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4"/>
      <c r="AY4" s="5"/>
      <c r="AZ4" s="6"/>
      <c r="BA4" s="5"/>
      <c r="BB4" s="7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customFormat="false" ht="12.75" hidden="false" customHeight="true" outlineLevel="0" collapsed="false">
      <c r="A5" s="2"/>
      <c r="B5" s="20" t="s">
        <v>33</v>
      </c>
      <c r="C5" s="21" t="n">
        <v>0.58</v>
      </c>
      <c r="D5" s="22" t="s">
        <v>34</v>
      </c>
      <c r="E5" s="23" t="n">
        <f aca="false">AF135/BA135</f>
        <v>0.1</v>
      </c>
      <c r="F5" s="24" t="s">
        <v>35</v>
      </c>
      <c r="G5" s="34" t="n">
        <v>1</v>
      </c>
      <c r="H5" s="21" t="n">
        <v>7500</v>
      </c>
      <c r="I5" s="35" t="n">
        <f aca="false">G5*H5</f>
        <v>7500</v>
      </c>
      <c r="J5" s="2"/>
      <c r="K5" s="36"/>
      <c r="L5" s="21" t="n">
        <v>150</v>
      </c>
      <c r="M5" s="3"/>
      <c r="N5" s="21" t="n">
        <v>9</v>
      </c>
      <c r="O5" s="21" t="n">
        <v>5</v>
      </c>
      <c r="P5" s="21" t="n">
        <f aca="false">0.85*4</f>
        <v>3.4</v>
      </c>
      <c r="Q5" s="7"/>
      <c r="R5" s="37" t="n">
        <f aca="false">SUM(N5:P5,L5,Q5)</f>
        <v>167.4</v>
      </c>
      <c r="S5" s="7" t="n">
        <f aca="false">Q5+R5-SUM(L5:P5)</f>
        <v>0</v>
      </c>
      <c r="T5" s="38"/>
      <c r="U5" s="5" t="n">
        <f aca="false">T5*$D$39</f>
        <v>0</v>
      </c>
      <c r="V5" s="7" t="n">
        <f aca="false">U5*L5</f>
        <v>0</v>
      </c>
      <c r="W5" s="7" t="n">
        <f aca="false">U5*R5</f>
        <v>0</v>
      </c>
      <c r="X5" s="35" t="n">
        <f aca="false">W5-V5</f>
        <v>0</v>
      </c>
      <c r="Y5" s="42" t="n">
        <f aca="false">-S5/(SUM(L5,M5,N5,O5,P5))</f>
        <v>-0</v>
      </c>
      <c r="Z5" s="2"/>
      <c r="AA5" s="2"/>
      <c r="AB5" s="36" t="s">
        <v>36</v>
      </c>
      <c r="AC5" s="40" t="n">
        <v>28</v>
      </c>
      <c r="AD5" s="40" t="n">
        <v>50</v>
      </c>
      <c r="AE5" s="41" t="n">
        <f aca="false">AD5-AC5</f>
        <v>22</v>
      </c>
      <c r="AF5" s="2"/>
      <c r="AG5" s="2"/>
      <c r="AH5" s="2"/>
      <c r="AI5" s="2"/>
      <c r="AJ5" s="2"/>
      <c r="AK5" s="2"/>
      <c r="AL5" s="2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4"/>
      <c r="AY5" s="5"/>
      <c r="AZ5" s="6"/>
      <c r="BA5" s="5"/>
      <c r="BB5" s="7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customFormat="false" ht="13.5" hidden="false" customHeight="true" outlineLevel="0" collapsed="false">
      <c r="A6" s="2"/>
      <c r="B6" s="43" t="s">
        <v>37</v>
      </c>
      <c r="C6" s="44" t="n">
        <v>0.97</v>
      </c>
      <c r="D6" s="43" t="s">
        <v>38</v>
      </c>
      <c r="E6" s="45" t="n">
        <v>0</v>
      </c>
      <c r="F6" s="24" t="s">
        <v>39</v>
      </c>
      <c r="G6" s="46" t="n">
        <v>0</v>
      </c>
      <c r="H6" s="21" t="n">
        <v>2500</v>
      </c>
      <c r="I6" s="35" t="n">
        <f aca="false">G6*H6</f>
        <v>0</v>
      </c>
      <c r="J6" s="2"/>
      <c r="K6" s="36"/>
      <c r="L6" s="21" t="n">
        <v>105</v>
      </c>
      <c r="M6" s="3"/>
      <c r="N6" s="21" t="n">
        <v>9</v>
      </c>
      <c r="O6" s="21" t="n">
        <v>5</v>
      </c>
      <c r="P6" s="21" t="n">
        <f aca="false">0.85*4</f>
        <v>3.4</v>
      </c>
      <c r="Q6" s="7"/>
      <c r="R6" s="37" t="n">
        <f aca="false">SUM(N6:P6,L6,Q6)</f>
        <v>122.4</v>
      </c>
      <c r="S6" s="7" t="n">
        <f aca="false">Q6+R6-SUM(L6:P6)</f>
        <v>0</v>
      </c>
      <c r="T6" s="38"/>
      <c r="U6" s="5" t="n">
        <f aca="false">T6*$D$39</f>
        <v>0</v>
      </c>
      <c r="V6" s="7" t="n">
        <f aca="false">U6*L6</f>
        <v>0</v>
      </c>
      <c r="W6" s="7" t="n">
        <f aca="false">U6*R6</f>
        <v>0</v>
      </c>
      <c r="X6" s="35" t="n">
        <f aca="false">W6-V6</f>
        <v>0</v>
      </c>
      <c r="Y6" s="42" t="n">
        <f aca="false">-S6/(SUM(L6,M6,N6,O6,P6))</f>
        <v>-0</v>
      </c>
      <c r="Z6" s="2"/>
      <c r="AA6" s="2"/>
      <c r="AB6" s="36"/>
      <c r="AC6" s="40"/>
      <c r="AD6" s="40"/>
      <c r="AE6" s="41"/>
      <c r="AF6" s="2"/>
      <c r="AG6" s="2"/>
      <c r="AH6" s="2"/>
      <c r="AI6" s="2"/>
      <c r="AJ6" s="2"/>
      <c r="AK6" s="2"/>
      <c r="AL6" s="2"/>
      <c r="AM6" s="47"/>
      <c r="AN6" s="2"/>
      <c r="AO6" s="6"/>
      <c r="AP6" s="7"/>
      <c r="AQ6" s="7"/>
      <c r="AR6" s="7"/>
      <c r="AS6" s="48"/>
      <c r="AT6" s="5"/>
      <c r="AU6" s="4"/>
      <c r="AV6" s="7"/>
      <c r="AW6" s="7"/>
      <c r="AX6" s="4"/>
      <c r="AY6" s="5"/>
      <c r="AZ6" s="6"/>
      <c r="BA6" s="5"/>
      <c r="BB6" s="7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customFormat="false" ht="12.75" hidden="false" customHeight="true" outlineLevel="0" collapsed="false">
      <c r="A7" s="2"/>
      <c r="B7" s="15" t="s">
        <v>40</v>
      </c>
      <c r="C7" s="14"/>
      <c r="D7" s="49" t="s">
        <v>41</v>
      </c>
      <c r="E7" s="14"/>
      <c r="F7" s="24" t="s">
        <v>42</v>
      </c>
      <c r="G7" s="5" t="n">
        <f aca="false">G4</f>
        <v>5000</v>
      </c>
      <c r="H7" s="21" t="n">
        <v>3.37</v>
      </c>
      <c r="I7" s="35" t="n">
        <f aca="false">G7*H7</f>
        <v>16850</v>
      </c>
      <c r="J7" s="2"/>
      <c r="K7" s="36"/>
      <c r="L7" s="21" t="n">
        <v>155</v>
      </c>
      <c r="M7" s="3"/>
      <c r="N7" s="21" t="n">
        <v>9</v>
      </c>
      <c r="O7" s="21" t="n">
        <v>5</v>
      </c>
      <c r="P7" s="21" t="n">
        <f aca="false">0.85*4</f>
        <v>3.4</v>
      </c>
      <c r="Q7" s="7"/>
      <c r="R7" s="37" t="n">
        <f aca="false">SUM(N7:P7,L7,Q7)</f>
        <v>172.4</v>
      </c>
      <c r="S7" s="7" t="n">
        <f aca="false">Q7+R7-SUM(L7:P7)</f>
        <v>0</v>
      </c>
      <c r="T7" s="38"/>
      <c r="U7" s="5" t="n">
        <f aca="false">T7*$D$39</f>
        <v>0</v>
      </c>
      <c r="V7" s="7" t="n">
        <f aca="false">U7*L7</f>
        <v>0</v>
      </c>
      <c r="W7" s="7" t="n">
        <f aca="false">U7*R7</f>
        <v>0</v>
      </c>
      <c r="X7" s="35" t="n">
        <f aca="false">W7-V7</f>
        <v>0</v>
      </c>
      <c r="Y7" s="42" t="n">
        <f aca="false">-S7/(SUM(L7,M7,N7,O7,P7))</f>
        <v>-0</v>
      </c>
      <c r="Z7" s="2"/>
      <c r="AA7" s="2"/>
      <c r="AB7" s="36"/>
      <c r="AC7" s="40"/>
      <c r="AD7" s="40"/>
      <c r="AE7" s="41"/>
      <c r="AF7" s="2"/>
      <c r="AG7" s="2"/>
      <c r="AH7" s="2"/>
      <c r="AI7" s="2"/>
      <c r="AJ7" s="2"/>
      <c r="AK7" s="2"/>
      <c r="AL7" s="2"/>
      <c r="AM7" s="47"/>
      <c r="AN7" s="2"/>
      <c r="AO7" s="6"/>
      <c r="AP7" s="7"/>
      <c r="AQ7" s="7"/>
      <c r="AR7" s="7"/>
      <c r="AS7" s="48"/>
      <c r="AT7" s="5"/>
      <c r="AU7" s="4"/>
      <c r="AV7" s="7"/>
      <c r="AW7" s="7"/>
      <c r="AX7" s="4"/>
      <c r="AY7" s="5"/>
      <c r="AZ7" s="6"/>
      <c r="BA7" s="5"/>
      <c r="BB7" s="7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customFormat="false" ht="12.75" hidden="false" customHeight="true" outlineLevel="0" collapsed="false">
      <c r="A8" s="2"/>
      <c r="B8" s="20" t="s">
        <v>8</v>
      </c>
      <c r="C8" s="50" t="n">
        <v>0.0641</v>
      </c>
      <c r="D8" s="51" t="s">
        <v>43</v>
      </c>
      <c r="E8" s="52" t="n">
        <v>12</v>
      </c>
      <c r="F8" s="24" t="s">
        <v>44</v>
      </c>
      <c r="G8" s="5" t="n">
        <f aca="false">G4</f>
        <v>5000</v>
      </c>
      <c r="H8" s="21" t="n">
        <v>0.35</v>
      </c>
      <c r="I8" s="35" t="n">
        <f aca="false">G8*H8</f>
        <v>1750</v>
      </c>
      <c r="J8" s="2"/>
      <c r="K8" s="36"/>
      <c r="L8" s="21" t="n">
        <v>105</v>
      </c>
      <c r="M8" s="3"/>
      <c r="N8" s="21" t="n">
        <v>9</v>
      </c>
      <c r="O8" s="21" t="n">
        <v>5</v>
      </c>
      <c r="P8" s="21" t="n">
        <f aca="false">0.85*4</f>
        <v>3.4</v>
      </c>
      <c r="Q8" s="7"/>
      <c r="R8" s="37" t="n">
        <f aca="false">SUM(N8:P8,L8,Q8)</f>
        <v>122.4</v>
      </c>
      <c r="S8" s="7" t="n">
        <f aca="false">Q8+R8-SUM(L8:P8)</f>
        <v>0</v>
      </c>
      <c r="T8" s="38"/>
      <c r="U8" s="5" t="n">
        <f aca="false">T8*$D$39</f>
        <v>0</v>
      </c>
      <c r="V8" s="7" t="n">
        <f aca="false">U8*L8</f>
        <v>0</v>
      </c>
      <c r="W8" s="7" t="n">
        <f aca="false">U8*R8</f>
        <v>0</v>
      </c>
      <c r="X8" s="35" t="n">
        <f aca="false">W8-V8</f>
        <v>0</v>
      </c>
      <c r="Y8" s="42" t="n">
        <f aca="false">-S8/(SUM(L8,M8,N8,O8,P8))</f>
        <v>-0</v>
      </c>
      <c r="Z8" s="2"/>
      <c r="AA8" s="2"/>
      <c r="AB8" s="36"/>
      <c r="AC8" s="40"/>
      <c r="AD8" s="40"/>
      <c r="AE8" s="41"/>
      <c r="AF8" s="2"/>
      <c r="AG8" s="2"/>
      <c r="AH8" s="2"/>
      <c r="AI8" s="2"/>
      <c r="AJ8" s="2"/>
      <c r="AK8" s="2"/>
      <c r="AL8" s="2"/>
      <c r="AM8" s="47"/>
      <c r="AN8" s="2"/>
      <c r="AO8" s="6"/>
      <c r="AP8" s="7"/>
      <c r="AQ8" s="7"/>
      <c r="AR8" s="7"/>
      <c r="AS8" s="48"/>
      <c r="AT8" s="5"/>
      <c r="AU8" s="4"/>
      <c r="AV8" s="7"/>
      <c r="AW8" s="7"/>
      <c r="AX8" s="5"/>
      <c r="AY8" s="7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customFormat="false" ht="12.75" hidden="false" customHeight="true" outlineLevel="0" collapsed="false">
      <c r="A9" s="2"/>
      <c r="B9" s="20" t="s">
        <v>31</v>
      </c>
      <c r="C9" s="53" t="n">
        <v>0.04</v>
      </c>
      <c r="D9" s="54" t="s">
        <v>45</v>
      </c>
      <c r="E9" s="55" t="n">
        <v>0.05</v>
      </c>
      <c r="F9" s="54" t="s">
        <v>46</v>
      </c>
      <c r="G9" s="34" t="n">
        <v>0</v>
      </c>
      <c r="H9" s="7" t="n">
        <f aca="false">C12</f>
        <v>1450</v>
      </c>
      <c r="I9" s="35" t="n">
        <f aca="false">G9*H9</f>
        <v>0</v>
      </c>
      <c r="J9" s="2"/>
      <c r="K9" s="36"/>
      <c r="L9" s="21" t="n">
        <v>39</v>
      </c>
      <c r="M9" s="3"/>
      <c r="N9" s="21" t="n">
        <v>9</v>
      </c>
      <c r="O9" s="21" t="n">
        <v>5</v>
      </c>
      <c r="P9" s="21" t="n">
        <f aca="false">0.85*4</f>
        <v>3.4</v>
      </c>
      <c r="Q9" s="7"/>
      <c r="R9" s="37" t="n">
        <f aca="false">SUM(N9:P9,L9,Q9)</f>
        <v>56.4</v>
      </c>
      <c r="S9" s="7" t="n">
        <f aca="false">Q9+R9-SUM(L9:P9)</f>
        <v>0</v>
      </c>
      <c r="T9" s="38" t="n">
        <v>1</v>
      </c>
      <c r="U9" s="5" t="n">
        <f aca="false">T9*$D$39</f>
        <v>55869.18</v>
      </c>
      <c r="V9" s="7" t="n">
        <f aca="false">U9*L9</f>
        <v>2178898.02</v>
      </c>
      <c r="W9" s="7" t="n">
        <f aca="false">U9*R9</f>
        <v>3151021.752</v>
      </c>
      <c r="X9" s="35" t="n">
        <f aca="false">W9-V9</f>
        <v>972123.732</v>
      </c>
      <c r="Y9" s="42" t="n">
        <f aca="false">-S9/(SUM(L9,M9,N9,O9,P9))</f>
        <v>-0</v>
      </c>
      <c r="Z9" s="2"/>
      <c r="AA9" s="2"/>
      <c r="AB9" s="36"/>
      <c r="AC9" s="40"/>
      <c r="AD9" s="40"/>
      <c r="AE9" s="41"/>
      <c r="AF9" s="2"/>
      <c r="AG9" s="2"/>
      <c r="AH9" s="2"/>
      <c r="AI9" s="2"/>
      <c r="AJ9" s="2"/>
      <c r="AK9" s="2"/>
      <c r="AL9" s="2"/>
      <c r="AM9" s="47"/>
      <c r="AN9" s="2"/>
      <c r="AO9" s="6"/>
      <c r="AP9" s="7"/>
      <c r="AQ9" s="7"/>
      <c r="AR9" s="7"/>
      <c r="AS9" s="48"/>
      <c r="AT9" s="5"/>
      <c r="AU9" s="4"/>
      <c r="AV9" s="7"/>
      <c r="AW9" s="7"/>
      <c r="AX9" s="5"/>
      <c r="AY9" s="7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customFormat="false" ht="12.75" hidden="false" customHeight="true" outlineLevel="0" collapsed="false">
      <c r="A10" s="2"/>
      <c r="B10" s="20" t="s">
        <v>34</v>
      </c>
      <c r="C10" s="41" t="n">
        <v>2</v>
      </c>
      <c r="D10" s="56" t="s">
        <v>47</v>
      </c>
      <c r="E10" s="57" t="n">
        <f aca="false">1/7</f>
        <v>0.1428571429</v>
      </c>
      <c r="F10" s="24" t="s">
        <v>48</v>
      </c>
      <c r="G10" s="46" t="n">
        <v>0</v>
      </c>
      <c r="H10" s="7" t="n">
        <f aca="false">C8</f>
        <v>0.0641</v>
      </c>
      <c r="I10" s="35" t="n">
        <f aca="false">G10*H10</f>
        <v>0</v>
      </c>
      <c r="J10" s="2"/>
      <c r="K10" s="36"/>
      <c r="L10" s="21"/>
      <c r="M10" s="3"/>
      <c r="N10" s="21"/>
      <c r="O10" s="21"/>
      <c r="P10" s="21"/>
      <c r="Q10" s="7"/>
      <c r="R10" s="37"/>
      <c r="S10" s="7"/>
      <c r="T10" s="38"/>
      <c r="U10" s="5" t="n">
        <f aca="false">T10*$D$39</f>
        <v>0</v>
      </c>
      <c r="V10" s="7" t="n">
        <f aca="false">U10*L10</f>
        <v>0</v>
      </c>
      <c r="W10" s="7" t="n">
        <f aca="false">U10*R10</f>
        <v>0</v>
      </c>
      <c r="X10" s="35" t="n">
        <f aca="false">W10-V10</f>
        <v>0</v>
      </c>
      <c r="Y10" s="42" t="e">
        <f aca="false">-S10/(SUM(L10,M10,N10,O10,P10))</f>
        <v>#DIV/0!</v>
      </c>
      <c r="Z10" s="2"/>
      <c r="AA10" s="2"/>
      <c r="AB10" s="36"/>
      <c r="AC10" s="40"/>
      <c r="AD10" s="40"/>
      <c r="AE10" s="41"/>
      <c r="AF10" s="2"/>
      <c r="AG10" s="2"/>
      <c r="AH10" s="2"/>
      <c r="AI10" s="2"/>
      <c r="AJ10" s="2"/>
      <c r="AK10" s="2"/>
      <c r="AL10" s="2"/>
      <c r="AM10" s="47"/>
      <c r="AN10" s="2"/>
      <c r="AO10" s="6"/>
      <c r="AP10" s="7"/>
      <c r="AQ10" s="7"/>
      <c r="AR10" s="7"/>
      <c r="AS10" s="48"/>
      <c r="AT10" s="5"/>
      <c r="AU10" s="4"/>
      <c r="AV10" s="7"/>
      <c r="AW10" s="7"/>
      <c r="AX10" s="5"/>
      <c r="AY10" s="7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customFormat="false" ht="12.75" hidden="false" customHeight="true" outlineLevel="0" collapsed="false">
      <c r="A11" s="2"/>
      <c r="B11" s="20" t="s">
        <v>49</v>
      </c>
      <c r="C11" s="58" t="n">
        <v>0.15</v>
      </c>
      <c r="D11" s="56" t="s">
        <v>50</v>
      </c>
      <c r="E11" s="59" t="n">
        <v>1.5</v>
      </c>
      <c r="F11" s="24" t="s">
        <v>51</v>
      </c>
      <c r="G11" s="5" t="n">
        <v>0</v>
      </c>
      <c r="H11" s="7" t="n">
        <f aca="false">C19</f>
        <v>56.4</v>
      </c>
      <c r="I11" s="35" t="n">
        <f aca="false">G11*H11</f>
        <v>0</v>
      </c>
      <c r="J11" s="2"/>
      <c r="K11" s="36"/>
      <c r="L11" s="21" t="n">
        <v>109</v>
      </c>
      <c r="M11" s="3"/>
      <c r="N11" s="21" t="n">
        <v>10</v>
      </c>
      <c r="O11" s="21" t="n">
        <v>10</v>
      </c>
      <c r="P11" s="21" t="n">
        <v>10</v>
      </c>
      <c r="Q11" s="7"/>
      <c r="R11" s="37" t="n">
        <f aca="false">SUM(N11:P11,L11,Q11)</f>
        <v>139</v>
      </c>
      <c r="S11" s="7" t="n">
        <f aca="false">Q11+R11-SUM(L11:P11)</f>
        <v>0</v>
      </c>
      <c r="T11" s="38" t="n">
        <v>0</v>
      </c>
      <c r="U11" s="5" t="n">
        <f aca="false">T11*$D$39</f>
        <v>0</v>
      </c>
      <c r="V11" s="7" t="n">
        <f aca="false">U11*L11</f>
        <v>0</v>
      </c>
      <c r="W11" s="7" t="n">
        <f aca="false">U11*R11</f>
        <v>0</v>
      </c>
      <c r="X11" s="35" t="n">
        <f aca="false">W11-V11</f>
        <v>0</v>
      </c>
      <c r="Y11" s="42" t="n">
        <f aca="false">-S11/(SUM(L11,M11,N11,O11,P11))</f>
        <v>-0</v>
      </c>
      <c r="Z11" s="2"/>
      <c r="AA11" s="2"/>
      <c r="AB11" s="36"/>
      <c r="AC11" s="40"/>
      <c r="AD11" s="40"/>
      <c r="AE11" s="41"/>
      <c r="AF11" s="2"/>
      <c r="AG11" s="2"/>
      <c r="AH11" s="2"/>
      <c r="AI11" s="2"/>
      <c r="AJ11" s="2"/>
      <c r="AK11" s="2"/>
      <c r="AL11" s="2"/>
      <c r="AM11" s="47"/>
      <c r="AN11" s="2"/>
      <c r="AO11" s="6"/>
      <c r="AP11" s="7"/>
      <c r="AQ11" s="7"/>
      <c r="AR11" s="7"/>
      <c r="AS11" s="48"/>
      <c r="AT11" s="5"/>
      <c r="AU11" s="4"/>
      <c r="AV11" s="7"/>
      <c r="AW11" s="7"/>
      <c r="AX11" s="5"/>
      <c r="AY11" s="7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customFormat="false" ht="13.5" hidden="false" customHeight="true" outlineLevel="0" collapsed="false">
      <c r="A12" s="2"/>
      <c r="B12" s="43" t="s">
        <v>52</v>
      </c>
      <c r="C12" s="60" t="n">
        <v>1450</v>
      </c>
      <c r="D12" s="56"/>
      <c r="E12" s="25"/>
      <c r="F12" s="24" t="s">
        <v>53</v>
      </c>
      <c r="G12" s="46" t="n">
        <v>1</v>
      </c>
      <c r="H12" s="21" t="n">
        <v>1500</v>
      </c>
      <c r="I12" s="35" t="n">
        <f aca="false">G12*H12</f>
        <v>1500</v>
      </c>
      <c r="J12" s="2"/>
      <c r="K12" s="36"/>
      <c r="L12" s="21" t="n">
        <v>185</v>
      </c>
      <c r="M12" s="3"/>
      <c r="N12" s="21" t="n">
        <v>9</v>
      </c>
      <c r="O12" s="21" t="n">
        <v>5</v>
      </c>
      <c r="P12" s="21" t="n">
        <f aca="false">0.85*4</f>
        <v>3.4</v>
      </c>
      <c r="Q12" s="7"/>
      <c r="R12" s="37" t="n">
        <f aca="false">SUM(N12:P12,L12,Q12)</f>
        <v>202.4</v>
      </c>
      <c r="S12" s="7" t="n">
        <f aca="false">Q12+R12-SUM(L12:P12)</f>
        <v>0</v>
      </c>
      <c r="T12" s="38"/>
      <c r="U12" s="5" t="n">
        <f aca="false">T12*$D$39</f>
        <v>0</v>
      </c>
      <c r="V12" s="7" t="n">
        <f aca="false">U12*L12</f>
        <v>0</v>
      </c>
      <c r="W12" s="7" t="n">
        <f aca="false">U12*R12</f>
        <v>0</v>
      </c>
      <c r="X12" s="35" t="n">
        <f aca="false">W12-V12</f>
        <v>0</v>
      </c>
      <c r="Y12" s="42" t="n">
        <f aca="false">-S12/(SUM(L12,M12,N12,O12,P12))</f>
        <v>-0</v>
      </c>
      <c r="Z12" s="2"/>
      <c r="AA12" s="2"/>
      <c r="AB12" s="36"/>
      <c r="AC12" s="40"/>
      <c r="AD12" s="40"/>
      <c r="AE12" s="41"/>
      <c r="AF12" s="2"/>
      <c r="AG12" s="2"/>
      <c r="AH12" s="2"/>
      <c r="AI12" s="2"/>
      <c r="AJ12" s="2"/>
      <c r="AK12" s="2"/>
      <c r="AL12" s="2"/>
      <c r="AM12" s="47"/>
      <c r="AN12" s="2"/>
      <c r="AO12" s="6"/>
      <c r="AP12" s="7"/>
      <c r="AQ12" s="7"/>
      <c r="AR12" s="7"/>
      <c r="AS12" s="48"/>
      <c r="AT12" s="5"/>
      <c r="AU12" s="4"/>
      <c r="AV12" s="7"/>
      <c r="AW12" s="7"/>
      <c r="AX12" s="5"/>
      <c r="AY12" s="7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customFormat="false" ht="12.75" hidden="false" customHeight="true" outlineLevel="0" collapsed="false">
      <c r="A13" s="2"/>
      <c r="B13" s="61" t="s">
        <v>54</v>
      </c>
      <c r="C13" s="62" t="n">
        <f aca="false">SUM(C14:C20)</f>
        <v>79.63</v>
      </c>
      <c r="D13" s="19" t="s">
        <v>55</v>
      </c>
      <c r="E13" s="63" t="n">
        <f aca="false">SUM(E14:E17)</f>
        <v>56.4</v>
      </c>
      <c r="F13" s="24" t="s">
        <v>56</v>
      </c>
      <c r="G13" s="34" t="n">
        <v>0</v>
      </c>
      <c r="H13" s="64" t="n">
        <v>16000</v>
      </c>
      <c r="I13" s="35" t="n">
        <f aca="false">G13*H13</f>
        <v>0</v>
      </c>
      <c r="J13" s="2"/>
      <c r="K13" s="36"/>
      <c r="L13" s="21" t="n">
        <v>329</v>
      </c>
      <c r="M13" s="3"/>
      <c r="N13" s="21" t="n">
        <v>9</v>
      </c>
      <c r="O13" s="21" t="n">
        <v>5</v>
      </c>
      <c r="P13" s="21" t="n">
        <f aca="false">0.85*4</f>
        <v>3.4</v>
      </c>
      <c r="Q13" s="7"/>
      <c r="R13" s="37" t="n">
        <f aca="false">SUM(N13:P13,L13,Q13)</f>
        <v>346.4</v>
      </c>
      <c r="S13" s="7" t="n">
        <f aca="false">Q13+R13-SUM(L13:P13)</f>
        <v>0</v>
      </c>
      <c r="T13" s="38"/>
      <c r="U13" s="5" t="n">
        <f aca="false">T13*$D$39</f>
        <v>0</v>
      </c>
      <c r="V13" s="7" t="n">
        <f aca="false">U13*L13</f>
        <v>0</v>
      </c>
      <c r="W13" s="7" t="n">
        <f aca="false">U13*R13</f>
        <v>0</v>
      </c>
      <c r="X13" s="35" t="n">
        <f aca="false">W13-V13</f>
        <v>0</v>
      </c>
      <c r="Y13" s="42" t="n">
        <f aca="false">-S13/(SUM(L13,M13,N13,O13,P13))</f>
        <v>-0</v>
      </c>
      <c r="Z13" s="2"/>
      <c r="AA13" s="2"/>
      <c r="AB13" s="36"/>
      <c r="AC13" s="40"/>
      <c r="AD13" s="40"/>
      <c r="AE13" s="41"/>
      <c r="AF13" s="2"/>
      <c r="AG13" s="2"/>
      <c r="AH13" s="2"/>
      <c r="AI13" s="2"/>
      <c r="AJ13" s="2"/>
      <c r="AK13" s="2"/>
      <c r="AL13" s="2"/>
      <c r="AM13" s="47"/>
      <c r="AN13" s="2"/>
      <c r="AO13" s="6"/>
      <c r="AP13" s="7"/>
      <c r="AQ13" s="7"/>
      <c r="AR13" s="7"/>
      <c r="AS13" s="48"/>
      <c r="AT13" s="5"/>
      <c r="AU13" s="4"/>
      <c r="AV13" s="7"/>
      <c r="AW13" s="7"/>
      <c r="AX13" s="5"/>
      <c r="AY13" s="7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customFormat="false" ht="12.75" hidden="false" customHeight="true" outlineLevel="0" collapsed="false">
      <c r="A14" s="2"/>
      <c r="B14" s="20" t="s">
        <v>57</v>
      </c>
      <c r="C14" s="21" t="n">
        <v>0</v>
      </c>
      <c r="D14" s="20" t="s">
        <v>58</v>
      </c>
      <c r="E14" s="65" t="n">
        <v>0</v>
      </c>
      <c r="F14" s="24" t="s">
        <v>59</v>
      </c>
      <c r="G14" s="46" t="n">
        <v>1</v>
      </c>
      <c r="H14" s="21" t="n">
        <v>3000</v>
      </c>
      <c r="I14" s="35" t="n">
        <f aca="false">G14*H14</f>
        <v>3000</v>
      </c>
      <c r="J14" s="2"/>
      <c r="K14" s="36"/>
      <c r="L14" s="21"/>
      <c r="M14" s="3"/>
      <c r="N14" s="21"/>
      <c r="O14" s="21"/>
      <c r="P14" s="21"/>
      <c r="Q14" s="7"/>
      <c r="R14" s="37"/>
      <c r="S14" s="7"/>
      <c r="T14" s="38"/>
      <c r="U14" s="5" t="n">
        <f aca="false">T14*$D$39</f>
        <v>0</v>
      </c>
      <c r="V14" s="7" t="n">
        <f aca="false">U14*L14</f>
        <v>0</v>
      </c>
      <c r="W14" s="7" t="n">
        <f aca="false">U14*R14</f>
        <v>0</v>
      </c>
      <c r="X14" s="35" t="n">
        <f aca="false">W14-V14</f>
        <v>0</v>
      </c>
      <c r="Y14" s="42" t="e">
        <f aca="false">-S14/(SUM(L14,M14,N14,O14,P14))</f>
        <v>#DIV/0!</v>
      </c>
      <c r="Z14" s="2"/>
      <c r="AA14" s="2"/>
      <c r="AB14" s="36"/>
      <c r="AC14" s="40"/>
      <c r="AD14" s="40"/>
      <c r="AE14" s="41"/>
      <c r="AF14" s="2"/>
      <c r="AG14" s="2"/>
      <c r="AH14" s="2"/>
      <c r="AI14" s="2"/>
      <c r="AJ14" s="2"/>
      <c r="AK14" s="2"/>
      <c r="AL14" s="2"/>
      <c r="AM14" s="47"/>
      <c r="AN14" s="2"/>
      <c r="AO14" s="6"/>
      <c r="AP14" s="7"/>
      <c r="AQ14" s="7"/>
      <c r="AR14" s="7"/>
      <c r="AS14" s="48"/>
      <c r="AT14" s="5"/>
      <c r="AU14" s="4"/>
      <c r="AV14" s="7"/>
      <c r="AW14" s="7"/>
      <c r="AX14" s="5"/>
      <c r="AY14" s="5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customFormat="false" ht="12.75" hidden="false" customHeight="true" outlineLevel="0" collapsed="false">
      <c r="A15" s="2"/>
      <c r="B15" s="20" t="s">
        <v>60</v>
      </c>
      <c r="C15" s="21" t="n">
        <v>3</v>
      </c>
      <c r="D15" s="20" t="s">
        <v>61</v>
      </c>
      <c r="E15" s="35" t="n">
        <f aca="false">V20</f>
        <v>56.4</v>
      </c>
      <c r="F15" s="56"/>
      <c r="G15" s="5"/>
      <c r="H15" s="66" t="s">
        <v>62</v>
      </c>
      <c r="I15" s="35" t="n">
        <f aca="false">SUM(I4:I14)</f>
        <v>49650</v>
      </c>
      <c r="J15" s="2"/>
      <c r="K15" s="36"/>
      <c r="L15" s="21"/>
      <c r="M15" s="3"/>
      <c r="N15" s="21"/>
      <c r="O15" s="21"/>
      <c r="P15" s="21"/>
      <c r="Q15" s="7"/>
      <c r="R15" s="37"/>
      <c r="S15" s="7"/>
      <c r="T15" s="38"/>
      <c r="U15" s="5" t="n">
        <f aca="false">T15*$D$39</f>
        <v>0</v>
      </c>
      <c r="V15" s="7" t="n">
        <f aca="false">U15*L15</f>
        <v>0</v>
      </c>
      <c r="W15" s="7" t="n">
        <f aca="false">U15*R15</f>
        <v>0</v>
      </c>
      <c r="X15" s="35" t="n">
        <f aca="false">W15-V15</f>
        <v>0</v>
      </c>
      <c r="Y15" s="42" t="e">
        <f aca="false">-S15/(SUM(L15,M15,N15,O15,P15))</f>
        <v>#DIV/0!</v>
      </c>
      <c r="Z15" s="2"/>
      <c r="AA15" s="2"/>
      <c r="AB15" s="36"/>
      <c r="AC15" s="40"/>
      <c r="AD15" s="40"/>
      <c r="AE15" s="41"/>
      <c r="AF15" s="2"/>
      <c r="AG15" s="2"/>
      <c r="AH15" s="2"/>
      <c r="AI15" s="2"/>
      <c r="AJ15" s="47"/>
      <c r="AK15" s="2"/>
      <c r="AL15" s="6"/>
      <c r="AM15" s="7"/>
      <c r="AN15" s="7"/>
      <c r="AO15" s="7"/>
      <c r="AP15" s="48"/>
      <c r="AQ15" s="5"/>
      <c r="AR15" s="4"/>
      <c r="AS15" s="7"/>
      <c r="AT15" s="7"/>
      <c r="AU15" s="4"/>
      <c r="AV15" s="5"/>
      <c r="AW15" s="6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customFormat="false" ht="12.75" hidden="false" customHeight="true" outlineLevel="0" collapsed="false">
      <c r="A16" s="2"/>
      <c r="B16" s="20" t="s">
        <v>63</v>
      </c>
      <c r="C16" s="21" t="n">
        <v>3.81</v>
      </c>
      <c r="D16" s="56"/>
      <c r="E16" s="25"/>
      <c r="F16" s="24" t="s">
        <v>64</v>
      </c>
      <c r="G16" s="5"/>
      <c r="H16" s="7"/>
      <c r="I16" s="35"/>
      <c r="J16" s="2"/>
      <c r="K16" s="36"/>
      <c r="L16" s="21"/>
      <c r="M16" s="3"/>
      <c r="N16" s="21"/>
      <c r="O16" s="21"/>
      <c r="P16" s="21"/>
      <c r="Q16" s="7"/>
      <c r="R16" s="37"/>
      <c r="S16" s="7"/>
      <c r="T16" s="38"/>
      <c r="U16" s="5" t="n">
        <f aca="false">T16*$D$39</f>
        <v>0</v>
      </c>
      <c r="V16" s="7" t="n">
        <f aca="false">U16*L16</f>
        <v>0</v>
      </c>
      <c r="W16" s="7" t="n">
        <f aca="false">U16*R16</f>
        <v>0</v>
      </c>
      <c r="X16" s="35" t="n">
        <f aca="false">W16-V16</f>
        <v>0</v>
      </c>
      <c r="Y16" s="42" t="e">
        <f aca="false">-S16/(SUM(L16,M16,N16,O16,P16))</f>
        <v>#DIV/0!</v>
      </c>
      <c r="Z16" s="2"/>
      <c r="AA16" s="2"/>
      <c r="AB16" s="36"/>
      <c r="AC16" s="40"/>
      <c r="AD16" s="40"/>
      <c r="AE16" s="41"/>
      <c r="AF16" s="2"/>
      <c r="AG16" s="2"/>
      <c r="AH16" s="2"/>
      <c r="AI16" s="2"/>
      <c r="AJ16" s="47"/>
      <c r="AK16" s="2"/>
      <c r="AL16" s="6"/>
      <c r="AM16" s="7"/>
      <c r="AN16" s="7"/>
      <c r="AO16" s="7"/>
      <c r="AP16" s="48"/>
      <c r="AQ16" s="5"/>
      <c r="AR16" s="4"/>
      <c r="AS16" s="7"/>
      <c r="AT16" s="7"/>
      <c r="AU16" s="4"/>
      <c r="AV16" s="5"/>
      <c r="AW16" s="6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customFormat="false" ht="13.5" hidden="false" customHeight="true" outlineLevel="0" collapsed="false">
      <c r="A17" s="2"/>
      <c r="B17" s="20" t="s">
        <v>65</v>
      </c>
      <c r="C17" s="67" t="n">
        <v>15</v>
      </c>
      <c r="D17" s="68"/>
      <c r="E17" s="69"/>
      <c r="F17" s="24" t="s">
        <v>66</v>
      </c>
      <c r="G17" s="34" t="n">
        <v>1</v>
      </c>
      <c r="H17" s="21" t="n">
        <v>60000</v>
      </c>
      <c r="I17" s="35" t="n">
        <f aca="false">G17*H17</f>
        <v>60000</v>
      </c>
      <c r="J17" s="2"/>
      <c r="K17" s="56"/>
      <c r="L17" s="7"/>
      <c r="M17" s="7"/>
      <c r="N17" s="7"/>
      <c r="O17" s="7"/>
      <c r="P17" s="7"/>
      <c r="Q17" s="7"/>
      <c r="R17" s="7"/>
      <c r="S17" s="7" t="n">
        <f aca="false">Q17+R17-SUM(L17:P17)</f>
        <v>0</v>
      </c>
      <c r="T17" s="38"/>
      <c r="U17" s="5" t="n">
        <f aca="false">T17*$D$39</f>
        <v>0</v>
      </c>
      <c r="V17" s="7" t="n">
        <f aca="false">U17*L17</f>
        <v>0</v>
      </c>
      <c r="W17" s="7" t="n">
        <f aca="false">U17*R17</f>
        <v>0</v>
      </c>
      <c r="X17" s="35" t="n">
        <f aca="false">W17-V17</f>
        <v>0</v>
      </c>
      <c r="Y17" s="42" t="e">
        <f aca="false">-S17/(SUM(L17,M17,N17,O17,P17))</f>
        <v>#DIV/0!</v>
      </c>
      <c r="Z17" s="2"/>
      <c r="AA17" s="2"/>
      <c r="AB17" s="36"/>
      <c r="AC17" s="40"/>
      <c r="AD17" s="40"/>
      <c r="AE17" s="41"/>
      <c r="AF17" s="2"/>
      <c r="AG17" s="2"/>
      <c r="AH17" s="2"/>
      <c r="AI17" s="2"/>
      <c r="AJ17" s="47"/>
      <c r="AK17" s="2"/>
      <c r="AL17" s="6"/>
      <c r="AM17" s="7"/>
      <c r="AN17" s="7"/>
      <c r="AO17" s="7"/>
      <c r="AP17" s="48"/>
      <c r="AQ17" s="5"/>
      <c r="AR17" s="4"/>
      <c r="AS17" s="7"/>
      <c r="AT17" s="7"/>
      <c r="AU17" s="4"/>
      <c r="AV17" s="5"/>
      <c r="AW17" s="6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customFormat="false" ht="13.5" hidden="false" customHeight="true" outlineLevel="0" collapsed="false">
      <c r="A18" s="2"/>
      <c r="B18" s="20" t="s">
        <v>67</v>
      </c>
      <c r="C18" s="21" t="n">
        <v>1.42</v>
      </c>
      <c r="D18" s="56" t="s">
        <v>68</v>
      </c>
      <c r="E18" s="35" t="n">
        <f aca="false">SUM(F23:F26)</f>
        <v>18.4013984506152</v>
      </c>
      <c r="F18" s="24" t="s">
        <v>69</v>
      </c>
      <c r="G18" s="34" t="n">
        <v>1</v>
      </c>
      <c r="H18" s="21" t="n">
        <v>15000</v>
      </c>
      <c r="I18" s="35" t="n">
        <f aca="false">G18*H18</f>
        <v>15000</v>
      </c>
      <c r="J18" s="2"/>
      <c r="K18" s="30"/>
      <c r="L18" s="70"/>
      <c r="M18" s="70"/>
      <c r="N18" s="70"/>
      <c r="O18" s="70"/>
      <c r="P18" s="70"/>
      <c r="Q18" s="70"/>
      <c r="R18" s="70"/>
      <c r="S18" s="70"/>
      <c r="T18" s="71"/>
      <c r="U18" s="72" t="n">
        <f aca="false">T18*$D$39</f>
        <v>0</v>
      </c>
      <c r="V18" s="70" t="n">
        <f aca="false">U18*L18</f>
        <v>0</v>
      </c>
      <c r="W18" s="70" t="n">
        <f aca="false">U18*R18</f>
        <v>0</v>
      </c>
      <c r="X18" s="73" t="n">
        <f aca="false">W18-V18</f>
        <v>0</v>
      </c>
      <c r="Y18" s="74" t="e">
        <f aca="false">-S18/(SUM(L18,M18,N18,O18,P18))</f>
        <v>#DIV/0!</v>
      </c>
      <c r="Z18" s="2"/>
      <c r="AA18" s="2"/>
      <c r="AB18" s="36"/>
      <c r="AC18" s="40"/>
      <c r="AD18" s="40"/>
      <c r="AE18" s="41"/>
      <c r="AF18" s="2"/>
      <c r="AG18" s="2"/>
      <c r="AH18" s="2"/>
      <c r="AI18" s="2"/>
      <c r="AJ18" s="47"/>
      <c r="AK18" s="2"/>
      <c r="AL18" s="6"/>
      <c r="AM18" s="7"/>
      <c r="AN18" s="7"/>
      <c r="AO18" s="7"/>
      <c r="AP18" s="48"/>
      <c r="AQ18" s="5"/>
      <c r="AR18" s="4"/>
      <c r="AS18" s="7"/>
      <c r="AT18" s="7"/>
      <c r="AU18" s="4"/>
      <c r="AV18" s="5"/>
      <c r="AW18" s="6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customFormat="false" ht="13.5" hidden="false" customHeight="true" outlineLevel="0" collapsed="false">
      <c r="A19" s="2"/>
      <c r="B19" s="20" t="s">
        <v>70</v>
      </c>
      <c r="C19" s="7" t="n">
        <f aca="false">V20</f>
        <v>56.4</v>
      </c>
      <c r="D19" s="68" t="s">
        <v>71</v>
      </c>
      <c r="E19" s="75" t="n">
        <f aca="false">C13-E13</f>
        <v>23.23</v>
      </c>
      <c r="F19" s="24" t="s">
        <v>72</v>
      </c>
      <c r="G19" s="34" t="n">
        <v>1</v>
      </c>
      <c r="H19" s="21" t="n">
        <v>500</v>
      </c>
      <c r="I19" s="35" t="n">
        <f aca="false">G19*H19</f>
        <v>500</v>
      </c>
      <c r="J19" s="2"/>
      <c r="K19" s="56"/>
      <c r="L19" s="2"/>
      <c r="M19" s="2"/>
      <c r="N19" s="2"/>
      <c r="O19" s="2"/>
      <c r="P19" s="2"/>
      <c r="Q19" s="2"/>
      <c r="R19" s="47" t="s">
        <v>73</v>
      </c>
      <c r="S19" s="48" t="n">
        <f aca="false">SUM(T4:T18)</f>
        <v>1</v>
      </c>
      <c r="T19" s="76" t="n">
        <f aca="false">SUM(U4:U18)</f>
        <v>55869.18</v>
      </c>
      <c r="U19" s="66" t="n">
        <f aca="false">SUM(V4:V18)</f>
        <v>2178898.02</v>
      </c>
      <c r="V19" s="66" t="n">
        <f aca="false">SUM(W4:W18)</f>
        <v>3151021.752</v>
      </c>
      <c r="W19" s="77" t="n">
        <f aca="false">SUM(X4:X18)</f>
        <v>972123.732</v>
      </c>
      <c r="X19" s="2"/>
      <c r="Y19" s="2"/>
      <c r="Z19" s="2"/>
      <c r="AA19" s="2"/>
      <c r="AB19" s="78"/>
      <c r="AC19" s="79"/>
      <c r="AD19" s="79"/>
      <c r="AE19" s="80"/>
      <c r="AF19" s="2"/>
      <c r="AG19" s="2"/>
      <c r="AH19" s="2"/>
      <c r="AI19" s="2"/>
      <c r="AJ19" s="47"/>
      <c r="AK19" s="2"/>
      <c r="AL19" s="6"/>
      <c r="AM19" s="7"/>
      <c r="AN19" s="7"/>
      <c r="AO19" s="7"/>
      <c r="AP19" s="48"/>
      <c r="AQ19" s="5"/>
      <c r="AR19" s="4"/>
      <c r="AS19" s="7"/>
      <c r="AT19" s="7"/>
      <c r="AU19" s="4"/>
      <c r="AV19" s="5"/>
      <c r="AW19" s="6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customFormat="false" ht="13.5" hidden="false" customHeight="true" outlineLevel="0" collapsed="false">
      <c r="A20" s="2"/>
      <c r="B20" s="43"/>
      <c r="C20" s="81"/>
      <c r="D20" s="82" t="s">
        <v>74</v>
      </c>
      <c r="E20" s="83" t="n">
        <f aca="false">E19/E18</f>
        <v>1.26240405381925</v>
      </c>
      <c r="F20" s="84" t="s">
        <v>75</v>
      </c>
      <c r="G20" s="85" t="n">
        <v>0.5</v>
      </c>
      <c r="H20" s="21" t="n">
        <v>90000</v>
      </c>
      <c r="I20" s="35" t="n">
        <f aca="false">G20*H20</f>
        <v>45000</v>
      </c>
      <c r="J20" s="2"/>
      <c r="K20" s="68"/>
      <c r="L20" s="86"/>
      <c r="M20" s="86"/>
      <c r="N20" s="86"/>
      <c r="O20" s="86"/>
      <c r="P20" s="86"/>
      <c r="Q20" s="86"/>
      <c r="R20" s="86"/>
      <c r="S20" s="86"/>
      <c r="T20" s="87" t="s">
        <v>76</v>
      </c>
      <c r="U20" s="81" t="n">
        <f aca="false">ROUNDDOWN(U19/$D$39,2)</f>
        <v>39</v>
      </c>
      <c r="V20" s="81" t="n">
        <f aca="false">ROUNDDOWN(V19/$D$39,2)</f>
        <v>56.4</v>
      </c>
      <c r="W20" s="75" t="n">
        <f aca="false">ROUNDDOWN(W19/$D$39,2)</f>
        <v>17.4</v>
      </c>
      <c r="X20" s="2"/>
      <c r="Y20" s="2"/>
      <c r="Z20" s="2"/>
      <c r="AA20" s="2"/>
      <c r="AB20" s="43" t="s">
        <v>77</v>
      </c>
      <c r="AC20" s="88" t="n">
        <f aca="false">SUM(AC5:AC19)</f>
        <v>28</v>
      </c>
      <c r="AD20" s="88" t="n">
        <f aca="false">SUM(AD5:AD19)</f>
        <v>50</v>
      </c>
      <c r="AE20" s="89" t="n">
        <f aca="false">SUM(AE5:AE19)</f>
        <v>22</v>
      </c>
      <c r="AF20" s="2"/>
      <c r="AG20" s="2"/>
      <c r="AH20" s="2"/>
      <c r="AI20" s="2"/>
      <c r="AJ20" s="47"/>
      <c r="AK20" s="2"/>
      <c r="AL20" s="6"/>
      <c r="AM20" s="7"/>
      <c r="AN20" s="7"/>
      <c r="AO20" s="7"/>
      <c r="AP20" s="48"/>
      <c r="AQ20" s="5"/>
      <c r="AR20" s="4"/>
      <c r="AS20" s="7"/>
      <c r="AT20" s="7"/>
      <c r="AU20" s="4"/>
      <c r="AV20" s="5"/>
      <c r="AW20" s="6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customFormat="false" ht="13.5" hidden="false" customHeight="true" outlineLevel="0" collapsed="false">
      <c r="A21" s="2"/>
      <c r="B21" s="15" t="s">
        <v>78</v>
      </c>
      <c r="C21" s="13"/>
      <c r="D21" s="13"/>
      <c r="E21" s="13"/>
      <c r="F21" s="14"/>
      <c r="G21" s="56"/>
      <c r="H21" s="2" t="s">
        <v>79</v>
      </c>
      <c r="I21" s="35" t="n">
        <f aca="false">SUM(I17:I20)</f>
        <v>120500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90"/>
      <c r="AI21" s="2"/>
      <c r="AJ21" s="2"/>
      <c r="AK21" s="91"/>
      <c r="AL21" s="92"/>
      <c r="AM21" s="47"/>
      <c r="AN21" s="48"/>
      <c r="AO21" s="5"/>
      <c r="AP21" s="2"/>
      <c r="AQ21" s="7"/>
      <c r="AR21" s="7"/>
      <c r="AS21" s="2"/>
      <c r="AT21" s="5"/>
      <c r="AU21" s="7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customFormat="false" ht="12.75" hidden="false" customHeight="true" outlineLevel="0" collapsed="false">
      <c r="A22" s="2"/>
      <c r="B22" s="56"/>
      <c r="C22" s="4" t="s">
        <v>10</v>
      </c>
      <c r="D22" s="4" t="s">
        <v>80</v>
      </c>
      <c r="E22" s="4" t="s">
        <v>27</v>
      </c>
      <c r="F22" s="93" t="s">
        <v>21</v>
      </c>
      <c r="G22" s="56"/>
      <c r="H22" s="2"/>
      <c r="I22" s="25"/>
      <c r="J22" s="2"/>
      <c r="K22" s="94" t="s">
        <v>81</v>
      </c>
      <c r="L22" s="95" t="n">
        <v>1</v>
      </c>
      <c r="M22" s="96" t="s">
        <v>82</v>
      </c>
      <c r="N22" s="2"/>
      <c r="O22" s="19" t="s">
        <v>83</v>
      </c>
      <c r="P22" s="97"/>
      <c r="Q22" s="13"/>
      <c r="R22" s="98"/>
      <c r="S22" s="13"/>
      <c r="T22" s="13"/>
      <c r="U22" s="13"/>
      <c r="V22" s="14"/>
      <c r="W22" s="99"/>
      <c r="X22" s="14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5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customFormat="false" ht="13.5" hidden="false" customHeight="true" outlineLevel="0" collapsed="false">
      <c r="A23" s="2"/>
      <c r="B23" s="20" t="s">
        <v>84</v>
      </c>
      <c r="C23" s="100" t="n">
        <f aca="false">ROUNDUP(G39/12/D39,0)</f>
        <v>229</v>
      </c>
      <c r="D23" s="101" t="n">
        <f aca="false">(BB135+AD135)/D39</f>
        <v>26.2357238704864</v>
      </c>
      <c r="E23" s="102" t="n">
        <f aca="false">C23*C8</f>
        <v>14.6789</v>
      </c>
      <c r="F23" s="103" t="n">
        <f aca="false">D23-E23</f>
        <v>11.5568238704864</v>
      </c>
      <c r="G23" s="68"/>
      <c r="H23" s="86"/>
      <c r="I23" s="75" t="s">
        <v>85</v>
      </c>
      <c r="J23" s="2"/>
      <c r="K23" s="104" t="s">
        <v>81</v>
      </c>
      <c r="L23" s="105" t="n">
        <f aca="false">ROUNDUP(L22/10,0)</f>
        <v>1</v>
      </c>
      <c r="M23" s="106" t="n">
        <f aca="false">C10/1000000*10000</f>
        <v>0.02</v>
      </c>
      <c r="N23" s="2"/>
      <c r="O23" s="20"/>
      <c r="P23" s="107" t="s">
        <v>86</v>
      </c>
      <c r="Q23" s="4" t="s">
        <v>87</v>
      </c>
      <c r="R23" s="2" t="s">
        <v>88</v>
      </c>
      <c r="S23" s="100" t="s">
        <v>89</v>
      </c>
      <c r="T23" s="2" t="s">
        <v>90</v>
      </c>
      <c r="U23" s="4" t="s">
        <v>91</v>
      </c>
      <c r="V23" s="25" t="s">
        <v>92</v>
      </c>
      <c r="W23" s="108" t="s">
        <v>93</v>
      </c>
      <c r="X23" s="93" t="s">
        <v>94</v>
      </c>
      <c r="Y23" s="4"/>
      <c r="Z23" s="2"/>
      <c r="AA23" s="2"/>
      <c r="AB23" s="2"/>
      <c r="AC23" s="2"/>
      <c r="AD23" s="2"/>
      <c r="AE23" s="2"/>
      <c r="AF23" s="2"/>
      <c r="AG23" s="2"/>
      <c r="AH23" s="1"/>
      <c r="AI23" s="109"/>
      <c r="AJ23" s="109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customFormat="false" ht="13.5" hidden="false" customHeight="true" outlineLevel="0" collapsed="false">
      <c r="A24" s="7"/>
      <c r="B24" s="20" t="s">
        <v>95</v>
      </c>
      <c r="C24" s="4" t="n">
        <f aca="false">ROUNDUP(I39/D39/12,0)</f>
        <v>93</v>
      </c>
      <c r="D24" s="101" t="n">
        <f aca="false">(BC135+AE135)/D39</f>
        <v>10.5477213937989</v>
      </c>
      <c r="E24" s="102" t="n">
        <f aca="false">C24*C9</f>
        <v>3.72</v>
      </c>
      <c r="F24" s="101" t="n">
        <f aca="false">D24-E24</f>
        <v>6.82772139379887</v>
      </c>
      <c r="G24" s="110" t="s">
        <v>96</v>
      </c>
      <c r="H24" s="111" t="s">
        <v>91</v>
      </c>
      <c r="I24" s="2"/>
      <c r="J24" s="2"/>
      <c r="K24" s="112" t="s">
        <v>97</v>
      </c>
      <c r="L24" s="113" t="n">
        <f aca="false">C10/L23</f>
        <v>2</v>
      </c>
      <c r="M24" s="2"/>
      <c r="N24" s="2"/>
      <c r="O24" s="20" t="s">
        <v>8</v>
      </c>
      <c r="P24" s="114" t="n">
        <f aca="false">C8</f>
        <v>0.0641</v>
      </c>
      <c r="Q24" s="114" t="n">
        <f aca="false">C11*E3</f>
        <v>0.0169449703426838</v>
      </c>
      <c r="R24" s="115" t="n">
        <f aca="false">C2/SUM(C23:C25)</f>
        <v>0.0163559450911991</v>
      </c>
      <c r="S24" s="116" t="n">
        <f aca="false">C12/AY138</f>
        <v>7.942417616E-005</v>
      </c>
      <c r="T24" s="116" t="n">
        <f aca="false">(C13-E15-E14)/(SUM(C23:C25)*E8)</f>
        <v>0.006008042449</v>
      </c>
      <c r="U24" s="117" t="n">
        <f aca="false">-H25</f>
        <v>-0.006597900627</v>
      </c>
      <c r="V24" s="118" t="n">
        <f aca="false">SUM(P24:U24)</f>
        <v>0.0968904814320429</v>
      </c>
      <c r="W24" s="119" t="n">
        <f aca="false">E3</f>
        <v>0.112966468951225</v>
      </c>
      <c r="X24" s="120" t="n">
        <f aca="false">W24-V24</f>
        <v>0.0160759875191821</v>
      </c>
      <c r="Y24" s="3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customFormat="false" ht="13.5" hidden="false" customHeight="true" outlineLevel="0" collapsed="false">
      <c r="A25" s="2"/>
      <c r="B25" s="20" t="s">
        <v>98</v>
      </c>
      <c r="C25" s="121" t="n">
        <f aca="false">ROUNDDOWN(K39/D39/12,3)</f>
        <v>0.207</v>
      </c>
      <c r="D25" s="101" t="n">
        <f aca="false">AF135/D39</f>
        <v>0.02099318633</v>
      </c>
      <c r="E25" s="102" t="n">
        <f aca="false">C25*M23</f>
        <v>0.00414</v>
      </c>
      <c r="F25" s="101" t="n">
        <f aca="false">D25-E25</f>
        <v>0.01685318633</v>
      </c>
      <c r="G25" s="93" t="s">
        <v>99</v>
      </c>
      <c r="H25" s="122" t="n">
        <f aca="false">AI136/SUM(C23:C25)</f>
        <v>0.006597900627</v>
      </c>
      <c r="I25" s="96" t="s">
        <v>100</v>
      </c>
      <c r="J25" s="96" t="s">
        <v>101</v>
      </c>
      <c r="K25" s="2"/>
      <c r="L25" s="2"/>
      <c r="M25" s="2"/>
      <c r="N25" s="2"/>
      <c r="O25" s="20" t="s">
        <v>31</v>
      </c>
      <c r="P25" s="114" t="n">
        <f aca="false">C9</f>
        <v>0.04</v>
      </c>
      <c r="Q25" s="116"/>
      <c r="R25" s="115" t="n">
        <f aca="false">R24</f>
        <v>0.0163559450911991</v>
      </c>
      <c r="S25" s="116" t="n">
        <f aca="false">S24</f>
        <v>7.942417616E-005</v>
      </c>
      <c r="T25" s="116" t="n">
        <f aca="false">T24</f>
        <v>0.006008042449</v>
      </c>
      <c r="U25" s="117" t="n">
        <f aca="false">-H25</f>
        <v>-0.006597900627</v>
      </c>
      <c r="V25" s="118" t="n">
        <f aca="false">SUM(P25:U25)</f>
        <v>0.0558455110893591</v>
      </c>
      <c r="W25" s="119" t="n">
        <f aca="false">E4</f>
        <v>0.111832410579194</v>
      </c>
      <c r="X25" s="120" t="n">
        <f aca="false">W25-V25</f>
        <v>0.0559868994898353</v>
      </c>
      <c r="Y25" s="3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customFormat="false" ht="13.5" hidden="false" customHeight="true" outlineLevel="0" collapsed="false">
      <c r="A26" s="2"/>
      <c r="B26" s="43" t="s">
        <v>102</v>
      </c>
      <c r="C26" s="123" t="n">
        <f aca="false">M39/12/D39</f>
        <v>0</v>
      </c>
      <c r="D26" s="124" t="n">
        <f aca="false">C26*E6</f>
        <v>0</v>
      </c>
      <c r="E26" s="125" t="s">
        <v>103</v>
      </c>
      <c r="F26" s="124" t="n">
        <f aca="false">D26</f>
        <v>0</v>
      </c>
      <c r="G26" s="126" t="n">
        <f aca="false">AC135/D39</f>
        <v>4.374089768</v>
      </c>
      <c r="H26" s="2"/>
      <c r="I26" s="127" t="n">
        <f aca="false">'Entity 1 Outputs'!L53</f>
        <v>49.637343</v>
      </c>
      <c r="J26" s="128" t="n">
        <f aca="false">'Entity 1 Outputs'!D72</f>
        <v>-3.362656999</v>
      </c>
      <c r="K26" s="2"/>
      <c r="L26" s="2"/>
      <c r="M26" s="2"/>
      <c r="N26" s="2"/>
      <c r="O26" s="43" t="s">
        <v>34</v>
      </c>
      <c r="P26" s="129" t="n">
        <f aca="false">M23</f>
        <v>0.02</v>
      </c>
      <c r="Q26" s="130"/>
      <c r="R26" s="131" t="n">
        <f aca="false">R24</f>
        <v>0.0163559450911991</v>
      </c>
      <c r="S26" s="130" t="n">
        <f aca="false">S25</f>
        <v>7.942417616E-005</v>
      </c>
      <c r="T26" s="130" t="n">
        <f aca="false">T25</f>
        <v>0.006008042449</v>
      </c>
      <c r="U26" s="132" t="n">
        <f aca="false">-H25</f>
        <v>-0.006597900627</v>
      </c>
      <c r="V26" s="133" t="n">
        <f aca="false">SUM(P26:U26)</f>
        <v>0.0358455110893591</v>
      </c>
      <c r="W26" s="134" t="n">
        <f aca="false">E5</f>
        <v>0.1</v>
      </c>
      <c r="X26" s="135" t="n">
        <f aca="false">W26-V26</f>
        <v>0.0641544889106409</v>
      </c>
      <c r="Y26" s="3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47"/>
      <c r="P27" s="107"/>
      <c r="Q27" s="2"/>
      <c r="R27" s="47"/>
      <c r="S27" s="5"/>
      <c r="T27" s="4"/>
      <c r="U27" s="6"/>
      <c r="V27" s="2"/>
      <c r="W27" s="2"/>
      <c r="X27" s="33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customFormat="false" ht="12.75" hidden="false" customHeight="true" outlineLevel="0" collapsed="false">
      <c r="A28" s="2"/>
      <c r="B28" s="15" t="s">
        <v>104</v>
      </c>
      <c r="C28" s="136" t="s">
        <v>105</v>
      </c>
      <c r="D28" s="136"/>
      <c r="E28" s="136"/>
      <c r="F28" s="137" t="s">
        <v>106</v>
      </c>
      <c r="G28" s="137" t="s">
        <v>107</v>
      </c>
      <c r="H28" s="137" t="s">
        <v>106</v>
      </c>
      <c r="I28" s="137" t="s">
        <v>107</v>
      </c>
      <c r="J28" s="137" t="s">
        <v>108</v>
      </c>
      <c r="K28" s="137" t="s">
        <v>107</v>
      </c>
      <c r="L28" s="137" t="s">
        <v>106</v>
      </c>
      <c r="M28" s="110" t="s">
        <v>107</v>
      </c>
      <c r="N28" s="2"/>
      <c r="O28" s="47"/>
      <c r="P28" s="10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customFormat="false" ht="12.75" hidden="false" customHeight="true" outlineLevel="0" collapsed="false">
      <c r="A29" s="2"/>
      <c r="B29" s="56" t="s">
        <v>109</v>
      </c>
      <c r="C29" s="2" t="s">
        <v>110</v>
      </c>
      <c r="D29" s="2" t="s">
        <v>111</v>
      </c>
      <c r="E29" s="2" t="s">
        <v>112</v>
      </c>
      <c r="F29" s="4" t="s">
        <v>113</v>
      </c>
      <c r="G29" s="4" t="s">
        <v>114</v>
      </c>
      <c r="H29" s="4" t="s">
        <v>115</v>
      </c>
      <c r="I29" s="4" t="s">
        <v>116</v>
      </c>
      <c r="J29" s="4" t="s">
        <v>117</v>
      </c>
      <c r="K29" s="4" t="s">
        <v>118</v>
      </c>
      <c r="L29" s="4" t="s">
        <v>119</v>
      </c>
      <c r="M29" s="93" t="s">
        <v>120</v>
      </c>
      <c r="N29" s="47"/>
      <c r="O29" s="2"/>
      <c r="P29" s="47"/>
      <c r="Q29" s="2"/>
      <c r="R29" s="47"/>
      <c r="S29" s="5"/>
      <c r="T29" s="3"/>
      <c r="U29" s="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customFormat="false" ht="12.75" hidden="false" customHeight="true" outlineLevel="0" collapsed="false">
      <c r="A30" s="2"/>
      <c r="B30" s="138" t="s">
        <v>121</v>
      </c>
      <c r="C30" s="5" t="n">
        <v>1500000</v>
      </c>
      <c r="D30" s="139" t="n">
        <v>15000</v>
      </c>
      <c r="E30" s="48" t="n">
        <f aca="false">D30/C30</f>
        <v>0.01</v>
      </c>
      <c r="F30" s="140" t="n">
        <v>229</v>
      </c>
      <c r="G30" s="100" t="n">
        <f aca="false">F30*$D30*12</f>
        <v>41220000</v>
      </c>
      <c r="H30" s="139" t="n">
        <v>180</v>
      </c>
      <c r="I30" s="100" t="n">
        <f aca="false">H30*$D30*12</f>
        <v>32400000</v>
      </c>
      <c r="J30" s="141" t="n">
        <v>0.5</v>
      </c>
      <c r="K30" s="100" t="n">
        <f aca="false">J30*$D30*12</f>
        <v>90000</v>
      </c>
      <c r="L30" s="139" t="n">
        <v>0</v>
      </c>
      <c r="M30" s="142" t="n">
        <f aca="false">L30*$D30*12</f>
        <v>0</v>
      </c>
      <c r="N30" s="2"/>
      <c r="O30" s="143"/>
      <c r="P30" s="47"/>
      <c r="Q30" s="2"/>
      <c r="R30" s="47"/>
      <c r="S30" s="2"/>
      <c r="T30" s="7"/>
      <c r="U30" s="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customFormat="false" ht="12.75" hidden="false" customHeight="true" outlineLevel="0" collapsed="false">
      <c r="A31" s="2"/>
      <c r="B31" s="138" t="s">
        <v>122</v>
      </c>
      <c r="C31" s="5" t="n">
        <v>328510</v>
      </c>
      <c r="D31" s="139" t="n">
        <v>10000</v>
      </c>
      <c r="E31" s="48" t="n">
        <f aca="false">D31/C31</f>
        <v>0.03044047365377</v>
      </c>
      <c r="F31" s="140" t="n">
        <v>229</v>
      </c>
      <c r="G31" s="100" t="n">
        <f aca="false">F31*$D31*12</f>
        <v>27480000</v>
      </c>
      <c r="H31" s="139" t="n">
        <v>60</v>
      </c>
      <c r="I31" s="100" t="n">
        <f aca="false">H31*$D31*12</f>
        <v>7200000</v>
      </c>
      <c r="J31" s="141" t="n">
        <v>0.1</v>
      </c>
      <c r="K31" s="100" t="n">
        <f aca="false">J31*$D31*12</f>
        <v>12000</v>
      </c>
      <c r="L31" s="139" t="n">
        <v>0</v>
      </c>
      <c r="M31" s="142" t="n">
        <f aca="false">L31*$D31*12</f>
        <v>0</v>
      </c>
      <c r="N31" s="2"/>
      <c r="O31" s="47"/>
      <c r="P31" s="144"/>
      <c r="Q31" s="2"/>
      <c r="R31" s="47"/>
      <c r="S31" s="5"/>
      <c r="T31" s="145"/>
      <c r="U31" s="3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customFormat="false" ht="12.75" hidden="false" customHeight="true" outlineLevel="0" collapsed="false">
      <c r="A32" s="2"/>
      <c r="B32" s="138" t="s">
        <v>123</v>
      </c>
      <c r="C32" s="5" t="n">
        <v>895861</v>
      </c>
      <c r="D32" s="139" t="n">
        <v>5000</v>
      </c>
      <c r="E32" s="48" t="n">
        <f aca="false">D32/C32</f>
        <v>0.00558122297990425</v>
      </c>
      <c r="F32" s="140" t="n">
        <v>229</v>
      </c>
      <c r="G32" s="100" t="n">
        <f aca="false">F32*$D32*12</f>
        <v>13740000</v>
      </c>
      <c r="H32" s="139" t="n">
        <v>60</v>
      </c>
      <c r="I32" s="100" t="n">
        <f aca="false">H32*$D32*12</f>
        <v>3600000</v>
      </c>
      <c r="J32" s="141" t="n">
        <v>0.1</v>
      </c>
      <c r="K32" s="100" t="n">
        <f aca="false">J32*$D32*12</f>
        <v>6000</v>
      </c>
      <c r="L32" s="139" t="n">
        <v>0</v>
      </c>
      <c r="M32" s="142" t="n">
        <f aca="false">L32*$D32*12</f>
        <v>0</v>
      </c>
      <c r="N32" s="2"/>
      <c r="O32" s="47"/>
      <c r="P32" s="66"/>
      <c r="Q32" s="2"/>
      <c r="R32" s="47"/>
      <c r="S32" s="5"/>
      <c r="T32" s="33"/>
      <c r="U32" s="3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customFormat="false" ht="12.75" hidden="false" customHeight="true" outlineLevel="0" collapsed="false">
      <c r="A33" s="2"/>
      <c r="B33" s="138" t="s">
        <v>124</v>
      </c>
      <c r="C33" s="5" t="n">
        <v>1800000</v>
      </c>
      <c r="D33" s="139" t="n">
        <v>5000</v>
      </c>
      <c r="E33" s="48" t="n">
        <f aca="false">D33/C33</f>
        <v>0.00277777777777778</v>
      </c>
      <c r="F33" s="140" t="n">
        <v>229</v>
      </c>
      <c r="G33" s="100" t="n">
        <f aca="false">F33*$D33*12</f>
        <v>13740000</v>
      </c>
      <c r="H33" s="139" t="n">
        <v>60</v>
      </c>
      <c r="I33" s="100" t="n">
        <f aca="false">H33*$D33*12</f>
        <v>3600000</v>
      </c>
      <c r="J33" s="141" t="n">
        <v>0.1</v>
      </c>
      <c r="K33" s="100" t="n">
        <f aca="false">J33*$D33*12</f>
        <v>6000</v>
      </c>
      <c r="L33" s="139" t="n">
        <v>0</v>
      </c>
      <c r="M33" s="142" t="n">
        <f aca="false">L33*$D33*12</f>
        <v>0</v>
      </c>
      <c r="N33" s="2"/>
      <c r="O33" s="47"/>
      <c r="P33" s="146"/>
      <c r="Q33" s="2"/>
      <c r="R33" s="47"/>
      <c r="S33" s="5"/>
      <c r="T33" s="7"/>
      <c r="U33" s="7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 customFormat="false" ht="12.75" hidden="false" customHeight="true" outlineLevel="0" collapsed="false">
      <c r="A34" s="2"/>
      <c r="B34" s="138" t="s">
        <v>125</v>
      </c>
      <c r="C34" s="5" t="n">
        <v>1066085</v>
      </c>
      <c r="D34" s="139" t="n">
        <v>5000</v>
      </c>
      <c r="E34" s="48" t="n">
        <f aca="false">D34/C34</f>
        <v>0.0046900575470061</v>
      </c>
      <c r="F34" s="140" t="n">
        <v>229</v>
      </c>
      <c r="G34" s="100" t="n">
        <f aca="false">F34*$D34*12</f>
        <v>13740000</v>
      </c>
      <c r="H34" s="139" t="n">
        <v>60</v>
      </c>
      <c r="I34" s="100" t="n">
        <f aca="false">H34*$D34*12</f>
        <v>3600000</v>
      </c>
      <c r="J34" s="141" t="n">
        <v>0.1</v>
      </c>
      <c r="K34" s="100" t="n">
        <f aca="false">J34*$D34*12</f>
        <v>6000</v>
      </c>
      <c r="L34" s="139" t="n">
        <v>0</v>
      </c>
      <c r="M34" s="142" t="n">
        <f aca="false">L34*$D34*12</f>
        <v>0</v>
      </c>
      <c r="N34" s="2"/>
      <c r="O34" s="47"/>
      <c r="P34" s="147"/>
      <c r="Q34" s="2"/>
      <c r="R34" s="2"/>
      <c r="S34" s="2"/>
      <c r="T34" s="47"/>
      <c r="U34" s="3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 customFormat="false" ht="12.75" hidden="false" customHeight="true" outlineLevel="0" collapsed="false">
      <c r="A35" s="2"/>
      <c r="B35" s="138" t="s">
        <v>126</v>
      </c>
      <c r="C35" s="5" t="n">
        <v>11831495</v>
      </c>
      <c r="D35" s="139" t="n">
        <v>5000</v>
      </c>
      <c r="E35" s="48" t="n">
        <f aca="false">D35/C35</f>
        <v>0.000422600863204523</v>
      </c>
      <c r="F35" s="140" t="n">
        <v>229</v>
      </c>
      <c r="G35" s="100" t="n">
        <f aca="false">F35*$D35*12</f>
        <v>13740000</v>
      </c>
      <c r="H35" s="139" t="n">
        <v>60</v>
      </c>
      <c r="I35" s="100" t="n">
        <f aca="false">H35*$D35*12</f>
        <v>3600000</v>
      </c>
      <c r="J35" s="141" t="n">
        <v>0.1</v>
      </c>
      <c r="K35" s="100" t="n">
        <f aca="false">J35*$D35*12</f>
        <v>6000</v>
      </c>
      <c r="L35" s="139" t="n">
        <v>0</v>
      </c>
      <c r="M35" s="142" t="n">
        <f aca="false">L35*$D35*12</f>
        <v>0</v>
      </c>
      <c r="N35" s="2"/>
      <c r="O35" s="47"/>
      <c r="P35" s="2"/>
      <c r="Q35" s="2"/>
      <c r="R35" s="2"/>
      <c r="S35" s="2"/>
      <c r="T35" s="145"/>
      <c r="U35" s="6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customFormat="false" ht="12.75" hidden="false" customHeight="true" outlineLevel="0" collapsed="false">
      <c r="A36" s="2"/>
      <c r="B36" s="138" t="s">
        <v>127</v>
      </c>
      <c r="C36" s="5" t="n">
        <v>86918</v>
      </c>
      <c r="D36" s="139" t="n">
        <f aca="false">$E$30*C36</f>
        <v>869.18</v>
      </c>
      <c r="E36" s="48" t="n">
        <f aca="false">D36/C36</f>
        <v>0.01</v>
      </c>
      <c r="F36" s="140" t="n">
        <v>229</v>
      </c>
      <c r="G36" s="100" t="n">
        <f aca="false">F36*$D36*12</f>
        <v>2388506.64</v>
      </c>
      <c r="H36" s="139" t="n">
        <v>60</v>
      </c>
      <c r="I36" s="100" t="n">
        <f aca="false">H36*$D36*12</f>
        <v>625809.6</v>
      </c>
      <c r="J36" s="141" t="n">
        <v>0.1</v>
      </c>
      <c r="K36" s="100" t="n">
        <f aca="false">J36*$D36*12</f>
        <v>1043.016</v>
      </c>
      <c r="L36" s="139" t="n">
        <v>0</v>
      </c>
      <c r="M36" s="142" t="n">
        <f aca="false">L36*$D36*12</f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48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customFormat="false" ht="12.75" hidden="false" customHeight="true" outlineLevel="0" collapsed="false">
      <c r="A37" s="2"/>
      <c r="B37" s="138" t="s">
        <v>128</v>
      </c>
      <c r="C37" s="5" t="n">
        <v>18951793</v>
      </c>
      <c r="D37" s="139" t="n">
        <v>5000</v>
      </c>
      <c r="E37" s="48" t="n">
        <f aca="false">D37/C37</f>
        <v>0.000263827280089013</v>
      </c>
      <c r="F37" s="140" t="n">
        <v>229</v>
      </c>
      <c r="G37" s="100" t="n">
        <f aca="false">F37*$D37*12</f>
        <v>13740000</v>
      </c>
      <c r="H37" s="139" t="n">
        <v>60</v>
      </c>
      <c r="I37" s="100" t="n">
        <f aca="false">H37*$D37*12</f>
        <v>3600000</v>
      </c>
      <c r="J37" s="141" t="n">
        <v>0.1</v>
      </c>
      <c r="K37" s="100" t="n">
        <f aca="false">J37*$D37*12</f>
        <v>6000</v>
      </c>
      <c r="L37" s="139" t="n">
        <v>0</v>
      </c>
      <c r="M37" s="142" t="n">
        <f aca="false">L37*$D37*12</f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48"/>
      <c r="AI37" s="7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customFormat="false" ht="12.75" hidden="false" customHeight="true" outlineLevel="0" collapsed="false">
      <c r="A38" s="2"/>
      <c r="B38" s="149" t="s">
        <v>129</v>
      </c>
      <c r="C38" s="72" t="n">
        <v>63786438</v>
      </c>
      <c r="D38" s="150" t="n">
        <v>5000</v>
      </c>
      <c r="E38" s="151" t="n">
        <f aca="false">D38/C38</f>
        <v>7.83865686307801E-005</v>
      </c>
      <c r="F38" s="152" t="n">
        <v>229</v>
      </c>
      <c r="G38" s="153" t="n">
        <f aca="false">F38*$D38*12</f>
        <v>13740000</v>
      </c>
      <c r="H38" s="150" t="n">
        <v>60</v>
      </c>
      <c r="I38" s="153" t="n">
        <f aca="false">H38*$D38*12</f>
        <v>3600000</v>
      </c>
      <c r="J38" s="154" t="n">
        <v>0.1</v>
      </c>
      <c r="K38" s="153" t="n">
        <f aca="false">J38*$D38*12</f>
        <v>6000</v>
      </c>
      <c r="L38" s="150" t="n">
        <v>0</v>
      </c>
      <c r="M38" s="155" t="n">
        <f aca="false">L38*$D38*12</f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48"/>
      <c r="AI38" s="33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 customFormat="false" ht="13.5" hidden="false" customHeight="true" outlineLevel="0" collapsed="false">
      <c r="A39" s="2"/>
      <c r="B39" s="43" t="s">
        <v>73</v>
      </c>
      <c r="C39" s="156" t="n">
        <f aca="false">SUM(C30:C38)</f>
        <v>100247100</v>
      </c>
      <c r="D39" s="157" t="n">
        <f aca="false">SUM(D30:D38)</f>
        <v>55869.18</v>
      </c>
      <c r="E39" s="158" t="n">
        <f aca="false">D39/C39</f>
        <v>0.000557314675436995</v>
      </c>
      <c r="F39" s="157" t="n">
        <f aca="false">G39/$D$39/12</f>
        <v>229</v>
      </c>
      <c r="G39" s="157" t="n">
        <f aca="false">SUM(G30:G38)</f>
        <v>153528506.6</v>
      </c>
      <c r="H39" s="157" t="n">
        <f aca="false">I39/$D$39/12</f>
        <v>92.21812097</v>
      </c>
      <c r="I39" s="157" t="n">
        <f aca="false">SUM(I30:I38)</f>
        <v>61825809.6</v>
      </c>
      <c r="J39" s="157" t="n">
        <f aca="false">K39/$D$39/12</f>
        <v>0.2073937366</v>
      </c>
      <c r="K39" s="157" t="n">
        <f aca="false">SUM(K30:K38)*L23</f>
        <v>139043.016</v>
      </c>
      <c r="L39" s="157" t="n">
        <f aca="false">M39/$D$39/12</f>
        <v>0</v>
      </c>
      <c r="M39" s="159" t="n">
        <f aca="false">SUM(M30:M38)</f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48"/>
      <c r="AI39" s="7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 customFormat="false" ht="13.5" hidden="false" customHeight="true" outlineLevel="0" collapsed="false">
      <c r="A40" s="2"/>
      <c r="B40" s="47"/>
      <c r="C40" s="5"/>
      <c r="D40" s="100"/>
      <c r="E40" s="48"/>
      <c r="F40" s="5"/>
      <c r="G40" s="100"/>
      <c r="H40" s="100"/>
      <c r="I40" s="100"/>
      <c r="J40" s="100"/>
      <c r="K40" s="100"/>
      <c r="L40" s="160"/>
      <c r="M40" s="100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48"/>
      <c r="AI40" s="7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customFormat="false" ht="26.25" hidden="false" customHeight="true" outlineLevel="0" collapsed="false">
      <c r="A41" s="2"/>
      <c r="B41" s="99"/>
      <c r="C41" s="161" t="s">
        <v>130</v>
      </c>
      <c r="D41" s="162" t="s">
        <v>131</v>
      </c>
      <c r="E41" s="163" t="s">
        <v>8</v>
      </c>
      <c r="F41" s="164" t="s">
        <v>31</v>
      </c>
      <c r="G41" s="165" t="s">
        <v>132</v>
      </c>
      <c r="H41" s="166" t="s">
        <v>133</v>
      </c>
      <c r="I41" s="167" t="s">
        <v>34</v>
      </c>
      <c r="J41" s="167" t="s">
        <v>134</v>
      </c>
      <c r="K41" s="168" t="s">
        <v>135</v>
      </c>
      <c r="L41" s="169" t="s">
        <v>136</v>
      </c>
      <c r="M41" s="170" t="s">
        <v>137</v>
      </c>
      <c r="N41" s="168" t="s">
        <v>138</v>
      </c>
      <c r="O41" s="171" t="s">
        <v>139</v>
      </c>
      <c r="P41" s="169" t="s">
        <v>140</v>
      </c>
      <c r="Q41" s="169" t="s">
        <v>141</v>
      </c>
      <c r="R41" s="169" t="s">
        <v>142</v>
      </c>
      <c r="S41" s="169" t="s">
        <v>143</v>
      </c>
      <c r="T41" s="170" t="s">
        <v>144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customFormat="false" ht="12.75" hidden="false" customHeight="true" outlineLevel="0" collapsed="false">
      <c r="A42" s="172" t="n">
        <v>0.05</v>
      </c>
      <c r="B42" s="99"/>
      <c r="C42" s="99" t="s">
        <v>145</v>
      </c>
      <c r="D42" s="173" t="n">
        <v>1E-005</v>
      </c>
      <c r="E42" s="174" t="n">
        <v>0</v>
      </c>
      <c r="F42" s="175" t="n">
        <v>0</v>
      </c>
      <c r="G42" s="176" t="n">
        <v>0.13</v>
      </c>
      <c r="H42" s="177" t="n">
        <v>0.1</v>
      </c>
      <c r="I42" s="178" t="n">
        <v>0.1</v>
      </c>
      <c r="J42" s="177" t="n">
        <v>0.05</v>
      </c>
      <c r="K42" s="179" t="n">
        <f aca="false">(E42*G42)/$D42</f>
        <v>0</v>
      </c>
      <c r="L42" s="180" t="n">
        <f aca="false">(F42*H42)/$D42</f>
        <v>0</v>
      </c>
      <c r="M42" s="181" t="n">
        <f aca="false">1-K42-L42</f>
        <v>1</v>
      </c>
      <c r="N42" s="182" t="n">
        <f aca="false">E42*G42</f>
        <v>0</v>
      </c>
      <c r="O42" s="101" t="n">
        <f aca="false">F42*H42</f>
        <v>0</v>
      </c>
      <c r="P42" s="101" t="n">
        <f aca="false">N42+O42</f>
        <v>0</v>
      </c>
      <c r="Q42" s="101" t="n">
        <f aca="false">D42</f>
        <v>1E-005</v>
      </c>
      <c r="R42" s="102" t="n">
        <f aca="false">P42-Q42</f>
        <v>-1E-005</v>
      </c>
      <c r="S42" s="183" t="n">
        <v>-0.5</v>
      </c>
      <c r="T42" s="184" t="n">
        <f aca="false">R42-S42</f>
        <v>0.49999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 customFormat="false" ht="12.75" hidden="false" customHeight="true" outlineLevel="0" collapsed="false">
      <c r="A43" s="172" t="n">
        <v>0.15</v>
      </c>
      <c r="B43" s="185" t="s">
        <v>146</v>
      </c>
      <c r="C43" s="56" t="s">
        <v>147</v>
      </c>
      <c r="D43" s="186" t="n">
        <v>0.0001</v>
      </c>
      <c r="E43" s="187" t="n">
        <v>0</v>
      </c>
      <c r="F43" s="188" t="n">
        <v>0</v>
      </c>
      <c r="G43" s="189" t="n">
        <v>0.17</v>
      </c>
      <c r="H43" s="190" t="n">
        <v>0.13</v>
      </c>
      <c r="I43" s="191" t="n">
        <v>0.1</v>
      </c>
      <c r="J43" s="37" t="n">
        <v>0.17</v>
      </c>
      <c r="K43" s="192" t="n">
        <f aca="false">(E43*G43)/$D43</f>
        <v>0</v>
      </c>
      <c r="L43" s="48" t="n">
        <f aca="false">(F43*H43)/$D43</f>
        <v>0</v>
      </c>
      <c r="M43" s="193" t="n">
        <f aca="false">1-K43-L43</f>
        <v>1</v>
      </c>
      <c r="N43" s="182" t="n">
        <f aca="false">E43*G43</f>
        <v>0</v>
      </c>
      <c r="O43" s="101" t="n">
        <f aca="false">F43*H43</f>
        <v>0</v>
      </c>
      <c r="P43" s="101" t="n">
        <f aca="false">N43+O43</f>
        <v>0</v>
      </c>
      <c r="Q43" s="101" t="n">
        <f aca="false">D43</f>
        <v>0.0001</v>
      </c>
      <c r="R43" s="102" t="n">
        <f aca="false">P43-Q43</f>
        <v>-0.0001</v>
      </c>
      <c r="S43" s="183" t="n">
        <v>-0.5</v>
      </c>
      <c r="T43" s="184" t="n">
        <f aca="false">R43-S43</f>
        <v>0.4999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 customFormat="false" ht="12.75" hidden="false" customHeight="true" outlineLevel="0" collapsed="false">
      <c r="A44" s="172" t="n">
        <v>0.1</v>
      </c>
      <c r="B44" s="56"/>
      <c r="C44" s="56" t="s">
        <v>148</v>
      </c>
      <c r="D44" s="186" t="n">
        <v>10</v>
      </c>
      <c r="E44" s="187" t="n">
        <v>75</v>
      </c>
      <c r="F44" s="188" t="n">
        <v>0</v>
      </c>
      <c r="G44" s="189" t="n">
        <v>0.15</v>
      </c>
      <c r="H44" s="190" t="n">
        <v>0.1</v>
      </c>
      <c r="I44" s="191" t="n">
        <v>0.1</v>
      </c>
      <c r="J44" s="37" t="n">
        <v>0</v>
      </c>
      <c r="K44" s="192" t="n">
        <v>1</v>
      </c>
      <c r="L44" s="48" t="n">
        <f aca="false">(F44*H44)/$D44</f>
        <v>0</v>
      </c>
      <c r="M44" s="193" t="n">
        <f aca="false">1-K44-L44</f>
        <v>0</v>
      </c>
      <c r="N44" s="182" t="n">
        <f aca="false">E44*G44</f>
        <v>11.25</v>
      </c>
      <c r="O44" s="101" t="n">
        <f aca="false">F44*H44</f>
        <v>0</v>
      </c>
      <c r="P44" s="101" t="n">
        <f aca="false">N44+O44</f>
        <v>11.25</v>
      </c>
      <c r="Q44" s="101" t="n">
        <f aca="false">D44</f>
        <v>10</v>
      </c>
      <c r="R44" s="102" t="n">
        <f aca="false">P44-Q44</f>
        <v>1.25</v>
      </c>
      <c r="S44" s="183" t="n">
        <v>-0.5</v>
      </c>
      <c r="T44" s="184" t="n">
        <f aca="false">R44-S44</f>
        <v>1.75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 customFormat="false" ht="12.75" hidden="false" customHeight="true" outlineLevel="0" collapsed="false">
      <c r="A45" s="172" t="n">
        <v>0.1</v>
      </c>
      <c r="B45" s="56"/>
      <c r="C45" s="56" t="s">
        <v>149</v>
      </c>
      <c r="D45" s="186" t="n">
        <v>25</v>
      </c>
      <c r="E45" s="187" t="n">
        <v>200</v>
      </c>
      <c r="F45" s="188" t="n">
        <v>0</v>
      </c>
      <c r="G45" s="189" t="n">
        <v>0.13</v>
      </c>
      <c r="H45" s="190" t="n">
        <v>0.1</v>
      </c>
      <c r="I45" s="191" t="n">
        <v>0.1</v>
      </c>
      <c r="J45" s="37" t="n">
        <v>0</v>
      </c>
      <c r="K45" s="192" t="n">
        <v>1</v>
      </c>
      <c r="L45" s="48" t="n">
        <f aca="false">(F45*H45)/$D45</f>
        <v>0</v>
      </c>
      <c r="M45" s="193" t="n">
        <f aca="false">1-K45-L45</f>
        <v>0</v>
      </c>
      <c r="N45" s="182" t="n">
        <f aca="false">E45*G45</f>
        <v>26</v>
      </c>
      <c r="O45" s="101" t="n">
        <f aca="false">F45*H45</f>
        <v>0</v>
      </c>
      <c r="P45" s="101" t="n">
        <f aca="false">N45+O45</f>
        <v>26</v>
      </c>
      <c r="Q45" s="101" t="n">
        <f aca="false">D45</f>
        <v>25</v>
      </c>
      <c r="R45" s="102" t="n">
        <f aca="false">P45-Q45</f>
        <v>1</v>
      </c>
      <c r="S45" s="183" t="n">
        <v>-0.5</v>
      </c>
      <c r="T45" s="184" t="n">
        <f aca="false">R45-S45</f>
        <v>1.5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 customFormat="false" ht="12.75" hidden="false" customHeight="true" outlineLevel="0" collapsed="false">
      <c r="A46" s="172" t="n">
        <v>0.05</v>
      </c>
      <c r="B46" s="56"/>
      <c r="C46" s="56" t="s">
        <v>150</v>
      </c>
      <c r="D46" s="186" t="n">
        <v>50</v>
      </c>
      <c r="E46" s="187" t="n">
        <v>450</v>
      </c>
      <c r="F46" s="188" t="n">
        <v>0</v>
      </c>
      <c r="G46" s="189" t="n">
        <v>0.13</v>
      </c>
      <c r="H46" s="190" t="n">
        <v>0.1</v>
      </c>
      <c r="I46" s="191" t="n">
        <v>0.1</v>
      </c>
      <c r="J46" s="37" t="n">
        <v>0</v>
      </c>
      <c r="K46" s="192" t="n">
        <v>1</v>
      </c>
      <c r="L46" s="48" t="n">
        <f aca="false">(F46*H46)/$D46</f>
        <v>0</v>
      </c>
      <c r="M46" s="193" t="n">
        <f aca="false">1-K46-L46</f>
        <v>0</v>
      </c>
      <c r="N46" s="182" t="n">
        <f aca="false">E46*G46</f>
        <v>58.5</v>
      </c>
      <c r="O46" s="101" t="n">
        <f aca="false">F46*H46</f>
        <v>0</v>
      </c>
      <c r="P46" s="101" t="n">
        <f aca="false">N46+O46</f>
        <v>58.5</v>
      </c>
      <c r="Q46" s="101" t="n">
        <f aca="false">D46</f>
        <v>50</v>
      </c>
      <c r="R46" s="102" t="n">
        <f aca="false">P46-Q46</f>
        <v>8.5</v>
      </c>
      <c r="S46" s="183" t="n">
        <v>-0.5</v>
      </c>
      <c r="T46" s="184" t="n">
        <f aca="false">R46-S46</f>
        <v>9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</row>
    <row r="47" customFormat="false" ht="13.5" hidden="false" customHeight="true" outlineLevel="0" collapsed="false">
      <c r="A47" s="172" t="n">
        <v>0.01</v>
      </c>
      <c r="B47" s="68"/>
      <c r="C47" s="68" t="s">
        <v>151</v>
      </c>
      <c r="D47" s="194" t="n">
        <v>100</v>
      </c>
      <c r="E47" s="195" t="n">
        <v>1000</v>
      </c>
      <c r="F47" s="196" t="n">
        <v>0</v>
      </c>
      <c r="G47" s="197" t="n">
        <v>0.1</v>
      </c>
      <c r="H47" s="198" t="n">
        <v>0.05</v>
      </c>
      <c r="I47" s="199" t="n">
        <v>0.05</v>
      </c>
      <c r="J47" s="198" t="n">
        <v>0</v>
      </c>
      <c r="K47" s="200" t="n">
        <v>1</v>
      </c>
      <c r="L47" s="158" t="n">
        <f aca="false">(F47*H47)/$D47</f>
        <v>0</v>
      </c>
      <c r="M47" s="201" t="n">
        <f aca="false">1-K47-L47</f>
        <v>0</v>
      </c>
      <c r="N47" s="202" t="n">
        <f aca="false">E47*G47</f>
        <v>100</v>
      </c>
      <c r="O47" s="124" t="n">
        <f aca="false">F47*H47</f>
        <v>0</v>
      </c>
      <c r="P47" s="124" t="n">
        <f aca="false">N47+O47</f>
        <v>100</v>
      </c>
      <c r="Q47" s="124" t="n">
        <f aca="false">D47</f>
        <v>100</v>
      </c>
      <c r="R47" s="203" t="n">
        <f aca="false">P47-Q47</f>
        <v>0</v>
      </c>
      <c r="S47" s="204" t="n">
        <v>-0.5</v>
      </c>
      <c r="T47" s="205" t="n">
        <f aca="false">R47-S47</f>
        <v>0.5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 customFormat="false" ht="13.5" hidden="false" customHeight="true" outlineLevel="0" collapsed="false">
      <c r="A48" s="172" t="n">
        <v>0.02</v>
      </c>
      <c r="B48" s="68"/>
      <c r="C48" s="68"/>
      <c r="D48" s="194" t="n">
        <v>0.001</v>
      </c>
      <c r="E48" s="195" t="n">
        <v>0</v>
      </c>
      <c r="F48" s="196" t="n">
        <v>0</v>
      </c>
      <c r="G48" s="197" t="n">
        <v>0</v>
      </c>
      <c r="H48" s="198" t="n">
        <v>0</v>
      </c>
      <c r="I48" s="199" t="n">
        <v>0</v>
      </c>
      <c r="J48" s="198" t="n">
        <v>0</v>
      </c>
      <c r="K48" s="200" t="n">
        <v>1</v>
      </c>
      <c r="L48" s="158" t="n">
        <f aca="false">(F48*H48)/$D48</f>
        <v>0</v>
      </c>
      <c r="M48" s="201" t="n">
        <f aca="false">1-K48-L48</f>
        <v>0</v>
      </c>
      <c r="N48" s="202" t="n">
        <f aca="false">E48*G48</f>
        <v>0</v>
      </c>
      <c r="O48" s="124" t="n">
        <f aca="false">F48*H48</f>
        <v>0</v>
      </c>
      <c r="P48" s="124" t="n">
        <f aca="false">N48+O48</f>
        <v>0</v>
      </c>
      <c r="Q48" s="124" t="n">
        <f aca="false">D48</f>
        <v>0.001</v>
      </c>
      <c r="R48" s="203" t="n">
        <f aca="false">P48-Q48</f>
        <v>-0.001</v>
      </c>
      <c r="S48" s="204" t="n">
        <v>0</v>
      </c>
      <c r="T48" s="205" t="n">
        <f aca="false">R48-S48</f>
        <v>-0.001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</row>
    <row r="49" customFormat="false" ht="13.5" hidden="false" customHeight="true" outlineLevel="0" collapsed="false">
      <c r="A49" s="2"/>
      <c r="B49" s="2"/>
      <c r="C49" s="2"/>
      <c r="D49" s="2"/>
      <c r="E49" s="7"/>
      <c r="F49" s="7"/>
      <c r="G49" s="7"/>
      <c r="H49" s="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</row>
    <row r="50" customFormat="false" ht="12.75" hidden="false" customHeight="true" outlineLevel="0" collapsed="false">
      <c r="A50" s="2"/>
      <c r="B50" s="99"/>
      <c r="C50" s="14"/>
      <c r="D50" s="99"/>
      <c r="E50" s="14"/>
      <c r="F50" s="206" t="s">
        <v>152</v>
      </c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7" t="s">
        <v>153</v>
      </c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99"/>
      <c r="AZ50" s="13"/>
      <c r="BA50" s="14"/>
      <c r="BB50" s="99"/>
      <c r="BC50" s="14"/>
      <c r="BD50" s="2"/>
      <c r="BE50" s="2"/>
      <c r="BF50" s="2"/>
      <c r="BG50" s="2"/>
      <c r="BH50" s="2"/>
      <c r="BI50" s="2"/>
      <c r="BJ50" s="2"/>
      <c r="BK50" s="2"/>
      <c r="BL50" s="2"/>
      <c r="BM50" s="2"/>
    </row>
    <row r="51" customFormat="false" ht="12.75" hidden="false" customHeight="true" outlineLevel="0" collapsed="false">
      <c r="A51" s="2"/>
      <c r="B51" s="26"/>
      <c r="C51" s="28"/>
      <c r="D51" s="26"/>
      <c r="E51" s="28"/>
      <c r="F51" s="208" t="s">
        <v>80</v>
      </c>
      <c r="G51" s="208"/>
      <c r="H51" s="208"/>
      <c r="I51" s="208"/>
      <c r="J51" s="208"/>
      <c r="K51" s="208"/>
      <c r="L51" s="208"/>
      <c r="M51" s="208"/>
      <c r="N51" s="209" t="s">
        <v>27</v>
      </c>
      <c r="O51" s="209"/>
      <c r="P51" s="209"/>
      <c r="Q51" s="209"/>
      <c r="R51" s="209"/>
      <c r="S51" s="209"/>
      <c r="T51" s="209"/>
      <c r="U51" s="209"/>
      <c r="V51" s="210" t="s">
        <v>21</v>
      </c>
      <c r="W51" s="210"/>
      <c r="X51" s="210"/>
      <c r="Y51" s="210"/>
      <c r="Z51" s="210"/>
      <c r="AA51" s="210"/>
      <c r="AB51" s="210"/>
      <c r="AC51" s="211" t="s">
        <v>80</v>
      </c>
      <c r="AD51" s="211"/>
      <c r="AE51" s="211"/>
      <c r="AF51" s="211"/>
      <c r="AG51" s="211"/>
      <c r="AH51" s="211"/>
      <c r="AI51" s="211"/>
      <c r="AJ51" s="212" t="s">
        <v>27</v>
      </c>
      <c r="AK51" s="212"/>
      <c r="AL51" s="212"/>
      <c r="AM51" s="212"/>
      <c r="AN51" s="212"/>
      <c r="AO51" s="212"/>
      <c r="AP51" s="212"/>
      <c r="AQ51" s="212"/>
      <c r="AR51" s="213" t="s">
        <v>154</v>
      </c>
      <c r="AS51" s="213"/>
      <c r="AT51" s="213"/>
      <c r="AU51" s="213"/>
      <c r="AV51" s="213"/>
      <c r="AW51" s="213"/>
      <c r="AX51" s="213"/>
      <c r="AY51" s="214" t="s">
        <v>155</v>
      </c>
      <c r="AZ51" s="214"/>
      <c r="BA51" s="214"/>
      <c r="BB51" s="56"/>
      <c r="BC51" s="25"/>
      <c r="BD51" s="2"/>
      <c r="BE51" s="2"/>
      <c r="BF51" s="2"/>
      <c r="BG51" s="2"/>
      <c r="BH51" s="2"/>
      <c r="BI51" s="2"/>
      <c r="BJ51" s="2"/>
      <c r="BK51" s="2"/>
      <c r="BL51" s="2"/>
      <c r="BM51" s="2"/>
    </row>
    <row r="52" customFormat="false" ht="26.25" hidden="false" customHeight="true" outlineLevel="0" collapsed="false">
      <c r="A52" s="2"/>
      <c r="B52" s="215" t="s">
        <v>156</v>
      </c>
      <c r="C52" s="216" t="s">
        <v>157</v>
      </c>
      <c r="D52" s="215" t="s">
        <v>158</v>
      </c>
      <c r="E52" s="216" t="s">
        <v>159</v>
      </c>
      <c r="F52" s="217" t="s">
        <v>157</v>
      </c>
      <c r="G52" s="218" t="s">
        <v>160</v>
      </c>
      <c r="H52" s="218" t="s">
        <v>161</v>
      </c>
      <c r="I52" s="218" t="s">
        <v>162</v>
      </c>
      <c r="J52" s="218" t="s">
        <v>163</v>
      </c>
      <c r="K52" s="218" t="s">
        <v>164</v>
      </c>
      <c r="L52" s="218" t="s">
        <v>165</v>
      </c>
      <c r="M52" s="218" t="s">
        <v>134</v>
      </c>
      <c r="N52" s="219" t="s">
        <v>157</v>
      </c>
      <c r="O52" s="218" t="s">
        <v>49</v>
      </c>
      <c r="P52" s="218" t="s">
        <v>161</v>
      </c>
      <c r="Q52" s="218" t="s">
        <v>162</v>
      </c>
      <c r="R52" s="218" t="s">
        <v>163</v>
      </c>
      <c r="S52" s="218" t="s">
        <v>164</v>
      </c>
      <c r="T52" s="218" t="s">
        <v>165</v>
      </c>
      <c r="U52" s="218" t="s">
        <v>134</v>
      </c>
      <c r="V52" s="219" t="s">
        <v>157</v>
      </c>
      <c r="W52" s="218" t="s">
        <v>161</v>
      </c>
      <c r="X52" s="218" t="s">
        <v>162</v>
      </c>
      <c r="Y52" s="218" t="s">
        <v>163</v>
      </c>
      <c r="Z52" s="218" t="s">
        <v>164</v>
      </c>
      <c r="AA52" s="218" t="s">
        <v>165</v>
      </c>
      <c r="AB52" s="220" t="s">
        <v>134</v>
      </c>
      <c r="AC52" s="221" t="s">
        <v>157</v>
      </c>
      <c r="AD52" s="222" t="s">
        <v>161</v>
      </c>
      <c r="AE52" s="222" t="s">
        <v>162</v>
      </c>
      <c r="AF52" s="222" t="s">
        <v>163</v>
      </c>
      <c r="AG52" s="222" t="s">
        <v>164</v>
      </c>
      <c r="AH52" s="222" t="s">
        <v>165</v>
      </c>
      <c r="AI52" s="222" t="s">
        <v>134</v>
      </c>
      <c r="AJ52" s="212" t="s">
        <v>157</v>
      </c>
      <c r="AK52" s="222" t="s">
        <v>49</v>
      </c>
      <c r="AL52" s="222" t="s">
        <v>161</v>
      </c>
      <c r="AM52" s="222" t="s">
        <v>162</v>
      </c>
      <c r="AN52" s="222" t="s">
        <v>163</v>
      </c>
      <c r="AO52" s="222" t="s">
        <v>164</v>
      </c>
      <c r="AP52" s="222" t="s">
        <v>165</v>
      </c>
      <c r="AQ52" s="223" t="s">
        <v>134</v>
      </c>
      <c r="AR52" s="224" t="s">
        <v>157</v>
      </c>
      <c r="AS52" s="224" t="s">
        <v>161</v>
      </c>
      <c r="AT52" s="224" t="s">
        <v>162</v>
      </c>
      <c r="AU52" s="224" t="s">
        <v>163</v>
      </c>
      <c r="AV52" s="224" t="s">
        <v>164</v>
      </c>
      <c r="AW52" s="224" t="s">
        <v>165</v>
      </c>
      <c r="AX52" s="225" t="s">
        <v>134</v>
      </c>
      <c r="AY52" s="226" t="s">
        <v>166</v>
      </c>
      <c r="AZ52" s="227" t="s">
        <v>167</v>
      </c>
      <c r="BA52" s="228" t="s">
        <v>168</v>
      </c>
      <c r="BB52" s="215" t="s">
        <v>169</v>
      </c>
      <c r="BC52" s="216" t="s">
        <v>170</v>
      </c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 customFormat="false" ht="12.75" hidden="false" customHeight="true" outlineLevel="0" collapsed="false">
      <c r="A53" s="2"/>
      <c r="B53" s="99" t="str">
        <f aca="false">B30</f>
        <v>Brand 1</v>
      </c>
      <c r="C53" s="14" t="str">
        <f aca="false">$C$42</f>
        <v>Program 1</v>
      </c>
      <c r="D53" s="229" t="n">
        <v>0.27</v>
      </c>
      <c r="E53" s="230" t="n">
        <f aca="false">D53*$D$30</f>
        <v>4050</v>
      </c>
      <c r="F53" s="3" t="n">
        <v>0</v>
      </c>
      <c r="G53" s="3" t="n">
        <f aca="false">$K$42*F53</f>
        <v>0</v>
      </c>
      <c r="H53" s="3" t="n">
        <f aca="false">IF($C$23&gt;$E$42,($C$23-$E$42)*$G$42,0)</f>
        <v>29.77</v>
      </c>
      <c r="I53" s="3" t="n">
        <f aca="false">IF($C$24&gt;$F$42,($C$24-$F$42)*$H$42,0)</f>
        <v>9.3</v>
      </c>
      <c r="J53" s="3" t="n">
        <f aca="false">$C$25*$I$42</f>
        <v>0.0207</v>
      </c>
      <c r="K53" s="3" t="n">
        <f aca="false">IF($E$42&gt;$C$23,($E$42-$C$23)*$C$8,0)</f>
        <v>0</v>
      </c>
      <c r="L53" s="3" t="n">
        <f aca="false">IF($F$42&gt;$C$24,($F$42-$C$24)*$C$9,0)</f>
        <v>0</v>
      </c>
      <c r="M53" s="231" t="n">
        <v>0</v>
      </c>
      <c r="N53" s="232" t="n">
        <f aca="false">$C$2+($E$42*$C$8)+($F$42*$C$9)</f>
        <v>5.27</v>
      </c>
      <c r="O53" s="3" t="n">
        <f aca="false">$C$11*G53+$C$11*P53</f>
        <v>2.201835</v>
      </c>
      <c r="P53" s="3" t="n">
        <f aca="false">IF($C$23&gt;$E$42,($C$23-$E$42)*$C$8,0)</f>
        <v>14.6789</v>
      </c>
      <c r="Q53" s="3" t="n">
        <f aca="false">IF($C$24&gt;$F$42,($C$24-$F$42)*$C$9,0)</f>
        <v>3.72</v>
      </c>
      <c r="R53" s="3" t="n">
        <f aca="false">$C$25*($C$10*10000/1000000)</f>
        <v>0.00414</v>
      </c>
      <c r="S53" s="3" t="n">
        <v>0</v>
      </c>
      <c r="T53" s="3" t="n">
        <v>0</v>
      </c>
      <c r="U53" s="3" t="n">
        <v>0</v>
      </c>
      <c r="V53" s="233" t="n">
        <f aca="false">F53-N53</f>
        <v>-5.27</v>
      </c>
      <c r="W53" s="234" t="n">
        <f aca="false">H53-P53-O53</f>
        <v>12.889265</v>
      </c>
      <c r="X53" s="234" t="n">
        <f aca="false">I53-Q53</f>
        <v>5.58</v>
      </c>
      <c r="Y53" s="234" t="n">
        <f aca="false">J53-R53</f>
        <v>0.01656</v>
      </c>
      <c r="Z53" s="234" t="n">
        <f aca="false">K53-S53</f>
        <v>0</v>
      </c>
      <c r="AA53" s="234" t="n">
        <f aca="false">L53-T53</f>
        <v>0</v>
      </c>
      <c r="AB53" s="234" t="n">
        <f aca="false">M53-U53</f>
        <v>0</v>
      </c>
      <c r="AC53" s="235" t="n">
        <f aca="false">$E53*F53</f>
        <v>0</v>
      </c>
      <c r="AD53" s="234" t="n">
        <f aca="false">E53*H53</f>
        <v>120568.5</v>
      </c>
      <c r="AE53" s="234" t="n">
        <f aca="false">E53*I53</f>
        <v>37665</v>
      </c>
      <c r="AF53" s="234" t="n">
        <f aca="false">E53*J53</f>
        <v>83.835</v>
      </c>
      <c r="AG53" s="234" t="n">
        <f aca="false">E53*K53</f>
        <v>0</v>
      </c>
      <c r="AH53" s="234" t="n">
        <f aca="false">E53*L53</f>
        <v>0</v>
      </c>
      <c r="AI53" s="234" t="n">
        <f aca="false">E53*M53</f>
        <v>0</v>
      </c>
      <c r="AJ53" s="236" t="n">
        <f aca="false">$E53*N53</f>
        <v>21343.5</v>
      </c>
      <c r="AK53" s="234" t="n">
        <f aca="false">E53*O53</f>
        <v>8917.43175</v>
      </c>
      <c r="AL53" s="234" t="n">
        <f aca="false">E53*P53</f>
        <v>59449.545</v>
      </c>
      <c r="AM53" s="234" t="n">
        <f aca="false">E53*Q53</f>
        <v>15066</v>
      </c>
      <c r="AN53" s="234" t="n">
        <f aca="false">E53*R53</f>
        <v>16.767</v>
      </c>
      <c r="AO53" s="234" t="n">
        <f aca="false">E53*Z53</f>
        <v>0</v>
      </c>
      <c r="AP53" s="234" t="n">
        <f aca="false">E53*T53</f>
        <v>0</v>
      </c>
      <c r="AQ53" s="237" t="n">
        <f aca="false">E53*U53</f>
        <v>0</v>
      </c>
      <c r="AR53" s="3" t="n">
        <f aca="false">AC53-AJ53</f>
        <v>-21343.5</v>
      </c>
      <c r="AS53" s="3" t="n">
        <f aca="false">AD53-AK53-AL53</f>
        <v>52201.52325</v>
      </c>
      <c r="AT53" s="3" t="n">
        <f aca="false">AE53-AM53</f>
        <v>22599</v>
      </c>
      <c r="AU53" s="3" t="n">
        <f aca="false">AF53-AN53</f>
        <v>67.068</v>
      </c>
      <c r="AV53" s="3" t="n">
        <f aca="false">AG53-AO53</f>
        <v>0</v>
      </c>
      <c r="AW53" s="3" t="n">
        <f aca="false">AH53-AP53</f>
        <v>0</v>
      </c>
      <c r="AX53" s="238" t="n">
        <f aca="false">AI53-AQ53</f>
        <v>0</v>
      </c>
      <c r="AY53" s="239" t="n">
        <f aca="false">E53*$C$23</f>
        <v>927450</v>
      </c>
      <c r="AZ53" s="239" t="n">
        <f aca="false">E53*$C$24</f>
        <v>376650</v>
      </c>
      <c r="BA53" s="240" t="n">
        <f aca="false">E53*$C$25</f>
        <v>838.35</v>
      </c>
      <c r="BB53" s="241" t="n">
        <f aca="false">$K$42*AR53</f>
        <v>-0</v>
      </c>
      <c r="BC53" s="242" t="n">
        <f aca="false">$L$42*AR53</f>
        <v>-0</v>
      </c>
      <c r="BD53" s="2"/>
      <c r="BE53" s="2"/>
      <c r="BF53" s="2"/>
      <c r="BG53" s="2"/>
      <c r="BH53" s="2"/>
      <c r="BI53" s="2"/>
      <c r="BJ53" s="2"/>
      <c r="BK53" s="2"/>
      <c r="BL53" s="2"/>
      <c r="BM53" s="2"/>
    </row>
    <row r="54" customFormat="false" ht="12.75" hidden="false" customHeight="true" outlineLevel="0" collapsed="false">
      <c r="A54" s="1"/>
      <c r="B54" s="56"/>
      <c r="C54" s="25" t="str">
        <f aca="false">$C$43</f>
        <v>Program 2</v>
      </c>
      <c r="D54" s="243" t="n">
        <v>0.4</v>
      </c>
      <c r="E54" s="230" t="n">
        <f aca="false">D54*$D$30</f>
        <v>6000</v>
      </c>
      <c r="F54" s="3" t="n">
        <v>0</v>
      </c>
      <c r="G54" s="3" t="n">
        <f aca="false">$K$43*F54</f>
        <v>0</v>
      </c>
      <c r="H54" s="3" t="n">
        <f aca="false">IF($C$23&gt;$E$43,($C$23-$E$43)*$G$43,0)</f>
        <v>38.93</v>
      </c>
      <c r="I54" s="3" t="n">
        <f aca="false">IF($C$24&gt;$F$43,($C$24-$F$43)*$H$43,0)</f>
        <v>12.09</v>
      </c>
      <c r="J54" s="3" t="n">
        <f aca="false">$C$25*$I$43</f>
        <v>0.0207</v>
      </c>
      <c r="K54" s="3" t="n">
        <f aca="false">IF($E$43&gt;$C$23,($E$43-$C$23)*$C$8,0)</f>
        <v>0</v>
      </c>
      <c r="L54" s="3" t="n">
        <f aca="false">IF($F$43&gt;$C$24,($F$43-$C$24)*$C$9,0)</f>
        <v>0</v>
      </c>
      <c r="M54" s="231" t="n">
        <v>4.2</v>
      </c>
      <c r="N54" s="232" t="n">
        <f aca="false">$C$2+($E$43*$C$8)+($F$43*$C$9)</f>
        <v>5.27</v>
      </c>
      <c r="O54" s="3" t="n">
        <f aca="false">$C$11*G54+$C$11*P54</f>
        <v>2.201835</v>
      </c>
      <c r="P54" s="3" t="n">
        <f aca="false">IF($C$23&gt;$E$43,($C$23-$E$43)*$C$8,0)</f>
        <v>14.6789</v>
      </c>
      <c r="Q54" s="3" t="n">
        <f aca="false">IF($C$24&gt;$F$43,($C$24-$F$43)*$C$9,0)</f>
        <v>3.72</v>
      </c>
      <c r="R54" s="3" t="n">
        <f aca="false">$C$25*($C$10*10000/1000000)</f>
        <v>0.00414</v>
      </c>
      <c r="S54" s="3" t="n">
        <v>0</v>
      </c>
      <c r="T54" s="3" t="n">
        <v>0</v>
      </c>
      <c r="U54" s="3" t="n">
        <v>0</v>
      </c>
      <c r="V54" s="235" t="n">
        <f aca="false">F54-N54</f>
        <v>-5.27</v>
      </c>
      <c r="W54" s="3" t="n">
        <f aca="false">H54-P54-O54</f>
        <v>22.049265</v>
      </c>
      <c r="X54" s="3" t="n">
        <f aca="false">I54-Q54</f>
        <v>8.37</v>
      </c>
      <c r="Y54" s="3" t="n">
        <f aca="false">J54-R54</f>
        <v>0.01656</v>
      </c>
      <c r="Z54" s="3" t="n">
        <f aca="false">K54-S54</f>
        <v>0</v>
      </c>
      <c r="AA54" s="3" t="n">
        <f aca="false">L54-T54</f>
        <v>0</v>
      </c>
      <c r="AB54" s="3" t="n">
        <f aca="false">M54-U54</f>
        <v>4.2</v>
      </c>
      <c r="AC54" s="235" t="n">
        <f aca="false">$E54*F54</f>
        <v>0</v>
      </c>
      <c r="AD54" s="3" t="n">
        <f aca="false">E54*H54</f>
        <v>233580</v>
      </c>
      <c r="AE54" s="3" t="n">
        <f aca="false">E54*I54</f>
        <v>72540</v>
      </c>
      <c r="AF54" s="3" t="n">
        <f aca="false">E54*J54</f>
        <v>124.2</v>
      </c>
      <c r="AG54" s="3" t="n">
        <f aca="false">E54*K54</f>
        <v>0</v>
      </c>
      <c r="AH54" s="3" t="n">
        <f aca="false">E54*L54</f>
        <v>0</v>
      </c>
      <c r="AI54" s="3" t="n">
        <f aca="false">E54*M54</f>
        <v>25200</v>
      </c>
      <c r="AJ54" s="232" t="n">
        <f aca="false">$E54*N54</f>
        <v>31620</v>
      </c>
      <c r="AK54" s="3" t="n">
        <f aca="false">E54*O54</f>
        <v>13211.01</v>
      </c>
      <c r="AL54" s="3" t="n">
        <f aca="false">E54*P54</f>
        <v>88073.4</v>
      </c>
      <c r="AM54" s="3" t="n">
        <f aca="false">E54*Q54</f>
        <v>22320</v>
      </c>
      <c r="AN54" s="3" t="n">
        <f aca="false">E54*R54</f>
        <v>24.84</v>
      </c>
      <c r="AO54" s="3" t="n">
        <f aca="false">E54*Z54</f>
        <v>0</v>
      </c>
      <c r="AP54" s="3" t="n">
        <f aca="false">E54*T54</f>
        <v>0</v>
      </c>
      <c r="AQ54" s="231" t="n">
        <f aca="false">E54*U54</f>
        <v>0</v>
      </c>
      <c r="AR54" s="3" t="n">
        <f aca="false">AC54-AJ54</f>
        <v>-31620</v>
      </c>
      <c r="AS54" s="3" t="n">
        <f aca="false">AD54-AK54-AL54</f>
        <v>132295.59</v>
      </c>
      <c r="AT54" s="3" t="n">
        <f aca="false">AE54-AM54</f>
        <v>50220</v>
      </c>
      <c r="AU54" s="3" t="n">
        <f aca="false">AF54-AN54</f>
        <v>99.36</v>
      </c>
      <c r="AV54" s="3" t="n">
        <f aca="false">AG54-AO54</f>
        <v>0</v>
      </c>
      <c r="AW54" s="3" t="n">
        <f aca="false">AH54-AP54</f>
        <v>0</v>
      </c>
      <c r="AX54" s="238" t="n">
        <f aca="false">AI54-AQ54</f>
        <v>25200</v>
      </c>
      <c r="AY54" s="5" t="n">
        <f aca="false">E54*$C$23</f>
        <v>1374000</v>
      </c>
      <c r="AZ54" s="5" t="n">
        <f aca="false">E54*$C$24</f>
        <v>558000</v>
      </c>
      <c r="BA54" s="230" t="n">
        <f aca="false">E54*$C$25</f>
        <v>1242</v>
      </c>
      <c r="BB54" s="24" t="n">
        <f aca="false">$K$43*AR54</f>
        <v>-0</v>
      </c>
      <c r="BC54" s="35" t="n">
        <f aca="false">$L$43*AR54</f>
        <v>-0</v>
      </c>
      <c r="BD54" s="2"/>
      <c r="BE54" s="2"/>
      <c r="BF54" s="2"/>
      <c r="BG54" s="2"/>
      <c r="BH54" s="2"/>
      <c r="BI54" s="2"/>
      <c r="BJ54" s="2"/>
      <c r="BK54" s="2"/>
      <c r="BL54" s="2"/>
      <c r="BM54" s="2"/>
    </row>
    <row r="55" customFormat="false" ht="12.75" hidden="false" customHeight="true" outlineLevel="0" collapsed="false">
      <c r="A55" s="1"/>
      <c r="B55" s="56"/>
      <c r="C55" s="25" t="str">
        <f aca="false">$C$44</f>
        <v>Program 3</v>
      </c>
      <c r="D55" s="243" t="n">
        <v>0.17</v>
      </c>
      <c r="E55" s="230" t="n">
        <f aca="false">D55*$D$30</f>
        <v>2550</v>
      </c>
      <c r="F55" s="3" t="n">
        <v>6</v>
      </c>
      <c r="G55" s="3" t="n">
        <f aca="false">$K$44*F55</f>
        <v>6</v>
      </c>
      <c r="H55" s="3" t="n">
        <f aca="false">IF($C$23&gt;$E$44,($C$23-$E$44)*$G$44,0)</f>
        <v>23.1</v>
      </c>
      <c r="I55" s="3" t="n">
        <f aca="false">IF($C$24&gt;$F$44,($C$24-$F$44)*$H$44,0)</f>
        <v>9.3</v>
      </c>
      <c r="J55" s="3" t="n">
        <f aca="false">$C$25*$I$44</f>
        <v>0.0207</v>
      </c>
      <c r="K55" s="3" t="n">
        <f aca="false">IF($E$44&gt;$C$23,($E$44-$C$23)*$C$8,0)</f>
        <v>0</v>
      </c>
      <c r="L55" s="3" t="n">
        <f aca="false">IF($F$44&gt;$C$24,($F$44-$C$24)*$C$9,0)</f>
        <v>0</v>
      </c>
      <c r="M55" s="231" t="n">
        <v>2.8</v>
      </c>
      <c r="N55" s="232" t="n">
        <f aca="false">$C$2+($E$44*$C$8)+($F$44*$C$9)</f>
        <v>10.0775</v>
      </c>
      <c r="O55" s="3" t="n">
        <f aca="false">$C$11*G55+$C$11*P55</f>
        <v>2.38071</v>
      </c>
      <c r="P55" s="3" t="n">
        <f aca="false">IF($C$23&gt;$E$44,($C$23-$E$44)*$C$8,0)</f>
        <v>9.8714</v>
      </c>
      <c r="Q55" s="3" t="n">
        <f aca="false">IF($C$24&gt;$F$44,($C$24-$F$44)*$C$9,0)</f>
        <v>3.72</v>
      </c>
      <c r="R55" s="3" t="n">
        <f aca="false">$C$25*($C$10*10000/1000000)</f>
        <v>0.00414</v>
      </c>
      <c r="S55" s="3" t="n">
        <v>0</v>
      </c>
      <c r="T55" s="3" t="n">
        <v>0</v>
      </c>
      <c r="U55" s="3" t="n">
        <v>0</v>
      </c>
      <c r="V55" s="235" t="n">
        <f aca="false">F55-N55</f>
        <v>-4.0775</v>
      </c>
      <c r="W55" s="3" t="n">
        <f aca="false">H55-P55-O55</f>
        <v>10.84789</v>
      </c>
      <c r="X55" s="3" t="n">
        <f aca="false">I55-Q55</f>
        <v>5.58</v>
      </c>
      <c r="Y55" s="3" t="n">
        <f aca="false">J55-R55</f>
        <v>0.01656</v>
      </c>
      <c r="Z55" s="3" t="n">
        <f aca="false">K55-S55</f>
        <v>0</v>
      </c>
      <c r="AA55" s="3" t="n">
        <f aca="false">L55-T55</f>
        <v>0</v>
      </c>
      <c r="AB55" s="3" t="n">
        <f aca="false">M55-U55</f>
        <v>2.8</v>
      </c>
      <c r="AC55" s="235" t="n">
        <f aca="false">$E55*F55</f>
        <v>15300</v>
      </c>
      <c r="AD55" s="3" t="n">
        <f aca="false">E55*H55</f>
        <v>58905</v>
      </c>
      <c r="AE55" s="3" t="n">
        <f aca="false">E55*I55</f>
        <v>23715</v>
      </c>
      <c r="AF55" s="3" t="n">
        <f aca="false">E55*J55</f>
        <v>52.785</v>
      </c>
      <c r="AG55" s="3" t="n">
        <f aca="false">E55*K55</f>
        <v>0</v>
      </c>
      <c r="AH55" s="3" t="n">
        <f aca="false">E55*L55</f>
        <v>0</v>
      </c>
      <c r="AI55" s="3" t="n">
        <f aca="false">E55*M55</f>
        <v>7140</v>
      </c>
      <c r="AJ55" s="232" t="n">
        <f aca="false">$E55*N55</f>
        <v>25697.625</v>
      </c>
      <c r="AK55" s="3" t="n">
        <f aca="false">E55*O55</f>
        <v>6070.8105</v>
      </c>
      <c r="AL55" s="3" t="n">
        <f aca="false">E55*P55</f>
        <v>25172.07</v>
      </c>
      <c r="AM55" s="3" t="n">
        <f aca="false">E55*Q55</f>
        <v>9486</v>
      </c>
      <c r="AN55" s="3" t="n">
        <f aca="false">E55*R55</f>
        <v>10.557</v>
      </c>
      <c r="AO55" s="3" t="n">
        <f aca="false">E55*Z55</f>
        <v>0</v>
      </c>
      <c r="AP55" s="3" t="n">
        <f aca="false">E55*T55</f>
        <v>0</v>
      </c>
      <c r="AQ55" s="231" t="n">
        <f aca="false">E55*U55</f>
        <v>0</v>
      </c>
      <c r="AR55" s="3" t="n">
        <f aca="false">AC55-AJ55</f>
        <v>-10397.625</v>
      </c>
      <c r="AS55" s="3" t="n">
        <f aca="false">AD55-AK55-AL55</f>
        <v>27662.1195</v>
      </c>
      <c r="AT55" s="3" t="n">
        <f aca="false">AE55-AM55</f>
        <v>14229</v>
      </c>
      <c r="AU55" s="3" t="n">
        <f aca="false">AF55-AN55</f>
        <v>42.228</v>
      </c>
      <c r="AV55" s="3" t="n">
        <f aca="false">AG55-AO55</f>
        <v>0</v>
      </c>
      <c r="AW55" s="3" t="n">
        <f aca="false">AH55-AP55</f>
        <v>0</v>
      </c>
      <c r="AX55" s="238" t="n">
        <f aca="false">AI55-AQ55</f>
        <v>7140</v>
      </c>
      <c r="AY55" s="5" t="n">
        <f aca="false">E55*$C$23</f>
        <v>583950</v>
      </c>
      <c r="AZ55" s="5" t="n">
        <f aca="false">E55*$C$24</f>
        <v>237150</v>
      </c>
      <c r="BA55" s="230" t="n">
        <f aca="false">E55*$C$25</f>
        <v>527.85</v>
      </c>
      <c r="BB55" s="24" t="n">
        <f aca="false">$K$44*AR55</f>
        <v>-10397.625</v>
      </c>
      <c r="BC55" s="35" t="n">
        <f aca="false">$L$44*AR55</f>
        <v>-0</v>
      </c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 customFormat="false" ht="12.75" hidden="false" customHeight="true" outlineLevel="0" collapsed="false">
      <c r="A56" s="1"/>
      <c r="B56" s="56"/>
      <c r="C56" s="25" t="str">
        <f aca="false">$C$45</f>
        <v>Program 4</v>
      </c>
      <c r="D56" s="243" t="n">
        <v>0.1</v>
      </c>
      <c r="E56" s="230" t="n">
        <f aca="false">D56*$D$30</f>
        <v>1500</v>
      </c>
      <c r="F56" s="3" t="n">
        <v>15</v>
      </c>
      <c r="G56" s="3" t="n">
        <f aca="false">$K$45*F56</f>
        <v>15</v>
      </c>
      <c r="H56" s="3" t="n">
        <f aca="false">IF($C$23&gt;$E$45,($C$23-$E$45)*$G$45,0)</f>
        <v>3.77</v>
      </c>
      <c r="I56" s="3" t="n">
        <f aca="false">IF($C$24&gt;$F$45,($C$24-$F$45)*$H$45,0)</f>
        <v>9.3</v>
      </c>
      <c r="J56" s="3" t="n">
        <f aca="false">$C$25*$I$45</f>
        <v>0.0207</v>
      </c>
      <c r="K56" s="3" t="n">
        <f aca="false">IF($E$45&gt;$C$23,($E$45-$C$23)*$C$8,0)</f>
        <v>0</v>
      </c>
      <c r="L56" s="3" t="n">
        <f aca="false">IF($F$45&gt;$C$24,($F$45-$C$24)*$C$9,0)</f>
        <v>0</v>
      </c>
      <c r="M56" s="231" t="n">
        <v>0</v>
      </c>
      <c r="N56" s="232" t="n">
        <f aca="false">$C$2+($E$45*$C$8)+($F$45*$C$9)</f>
        <v>18.09</v>
      </c>
      <c r="O56" s="3" t="n">
        <f aca="false">$C$11*G56+$C$11*P56</f>
        <v>2.528835</v>
      </c>
      <c r="P56" s="3" t="n">
        <f aca="false">IF($C$23&gt;$E$45,($C$23-$E$45)*$C$8,0)</f>
        <v>1.8589</v>
      </c>
      <c r="Q56" s="3" t="n">
        <f aca="false">IF($C$24&gt;$F$45,($C$24-$F$45)*$C$9,0)</f>
        <v>3.72</v>
      </c>
      <c r="R56" s="3" t="n">
        <f aca="false">$C$25*($C$10*10000/1000000)</f>
        <v>0.00414</v>
      </c>
      <c r="S56" s="3" t="n">
        <v>0</v>
      </c>
      <c r="T56" s="3" t="n">
        <v>0</v>
      </c>
      <c r="U56" s="3" t="n">
        <v>0</v>
      </c>
      <c r="V56" s="235" t="n">
        <f aca="false">F56-N56</f>
        <v>-3.09</v>
      </c>
      <c r="W56" s="3" t="n">
        <f aca="false">H56-P56-O56</f>
        <v>-0.617735</v>
      </c>
      <c r="X56" s="3" t="n">
        <f aca="false">I56-Q56</f>
        <v>5.58</v>
      </c>
      <c r="Y56" s="3" t="n">
        <f aca="false">J56-R56</f>
        <v>0.01656</v>
      </c>
      <c r="Z56" s="3" t="n">
        <f aca="false">K56-S56</f>
        <v>0</v>
      </c>
      <c r="AA56" s="3" t="n">
        <f aca="false">L56-T56</f>
        <v>0</v>
      </c>
      <c r="AB56" s="3" t="n">
        <f aca="false">M56-U56</f>
        <v>0</v>
      </c>
      <c r="AC56" s="235" t="n">
        <f aca="false">$E56*F56</f>
        <v>22500</v>
      </c>
      <c r="AD56" s="3" t="n">
        <f aca="false">E56*H56</f>
        <v>5655</v>
      </c>
      <c r="AE56" s="3" t="n">
        <f aca="false">E56*I56</f>
        <v>13950</v>
      </c>
      <c r="AF56" s="3" t="n">
        <f aca="false">E56*J56</f>
        <v>31.05</v>
      </c>
      <c r="AG56" s="3" t="n">
        <f aca="false">E56*K56</f>
        <v>0</v>
      </c>
      <c r="AH56" s="3" t="n">
        <f aca="false">E56*L56</f>
        <v>0</v>
      </c>
      <c r="AI56" s="3" t="n">
        <f aca="false">E56*M56</f>
        <v>0</v>
      </c>
      <c r="AJ56" s="232" t="n">
        <f aca="false">$E56*N56</f>
        <v>27135</v>
      </c>
      <c r="AK56" s="3" t="n">
        <f aca="false">E56*O56</f>
        <v>3793.2525</v>
      </c>
      <c r="AL56" s="3" t="n">
        <f aca="false">E56*P56</f>
        <v>2788.35</v>
      </c>
      <c r="AM56" s="3" t="n">
        <f aca="false">E56*Q56</f>
        <v>5580</v>
      </c>
      <c r="AN56" s="3" t="n">
        <f aca="false">E56*R56</f>
        <v>6.21</v>
      </c>
      <c r="AO56" s="3" t="n">
        <f aca="false">E56*Z56</f>
        <v>0</v>
      </c>
      <c r="AP56" s="3" t="n">
        <f aca="false">E56*T56</f>
        <v>0</v>
      </c>
      <c r="AQ56" s="231" t="n">
        <f aca="false">E56*U56</f>
        <v>0</v>
      </c>
      <c r="AR56" s="3" t="n">
        <f aca="false">AC56-AJ56</f>
        <v>-4635</v>
      </c>
      <c r="AS56" s="3" t="n">
        <f aca="false">AD56-AK56-AL56</f>
        <v>-926.6025</v>
      </c>
      <c r="AT56" s="3" t="n">
        <f aca="false">AE56-AM56</f>
        <v>8370</v>
      </c>
      <c r="AU56" s="3" t="n">
        <f aca="false">AF56-AN56</f>
        <v>24.84</v>
      </c>
      <c r="AV56" s="3" t="n">
        <f aca="false">AG56-AO56</f>
        <v>0</v>
      </c>
      <c r="AW56" s="3" t="n">
        <f aca="false">AH56-AP56</f>
        <v>0</v>
      </c>
      <c r="AX56" s="238" t="n">
        <f aca="false">AI56-AQ56</f>
        <v>0</v>
      </c>
      <c r="AY56" s="5" t="n">
        <f aca="false">E56*$C$23</f>
        <v>343500</v>
      </c>
      <c r="AZ56" s="5" t="n">
        <f aca="false">E56*$C$24</f>
        <v>139500</v>
      </c>
      <c r="BA56" s="230" t="n">
        <f aca="false">E56*$C$25</f>
        <v>310.5</v>
      </c>
      <c r="BB56" s="24" t="n">
        <f aca="false">$K$45*AR56</f>
        <v>-4635</v>
      </c>
      <c r="BC56" s="35" t="n">
        <f aca="false">$L$45*AR56</f>
        <v>-0</v>
      </c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 customFormat="false" ht="12.75" hidden="false" customHeight="true" outlineLevel="0" collapsed="false">
      <c r="A57" s="27"/>
      <c r="B57" s="56"/>
      <c r="C57" s="25" t="str">
        <f aca="false">$C$46</f>
        <v>Program 5</v>
      </c>
      <c r="D57" s="243" t="n">
        <v>0.05</v>
      </c>
      <c r="E57" s="230" t="n">
        <f aca="false">D57*$D$30</f>
        <v>750</v>
      </c>
      <c r="F57" s="3" t="n">
        <v>25</v>
      </c>
      <c r="G57" s="3" t="n">
        <f aca="false">$K$46*F57</f>
        <v>25</v>
      </c>
      <c r="H57" s="3" t="n">
        <f aca="false">IF($C$23&gt;$E$46,($C$23-$E$46)*$G$46,0)</f>
        <v>0</v>
      </c>
      <c r="I57" s="3" t="n">
        <f aca="false">IF($C$24&gt;$F$46,($C$24-$F$46)*$H$46,0)</f>
        <v>9.3</v>
      </c>
      <c r="J57" s="3" t="n">
        <f aca="false">$C$25*$I$46</f>
        <v>0.0207</v>
      </c>
      <c r="K57" s="3" t="n">
        <f aca="false">IF($E$46&gt;$C$23,($E$46-$C$23)*$C$8,0)</f>
        <v>14.1661</v>
      </c>
      <c r="L57" s="3" t="n">
        <f aca="false">IF($F$46&gt;$C$24,($F$46-$C$24)*$C$9,0)</f>
        <v>0</v>
      </c>
      <c r="M57" s="231" t="n">
        <v>0</v>
      </c>
      <c r="N57" s="232" t="n">
        <f aca="false">$C$2+($E$46*$C$8)+($F$46*$C$9)</f>
        <v>34.115</v>
      </c>
      <c r="O57" s="3" t="n">
        <f aca="false">$C$11*G57+$C$11*P57</f>
        <v>3.75</v>
      </c>
      <c r="P57" s="3" t="n">
        <f aca="false">IF($C$23&gt;$E$46,($C$23-$E$46)*$C$8,0)</f>
        <v>0</v>
      </c>
      <c r="Q57" s="3" t="n">
        <f aca="false">IF($C$24&gt;$F$46,($C$24-$F$46)*$C$9,0)</f>
        <v>3.72</v>
      </c>
      <c r="R57" s="3" t="n">
        <f aca="false">$C$25*($C$10*10000/1000000)</f>
        <v>0.00414</v>
      </c>
      <c r="S57" s="3" t="n">
        <v>0</v>
      </c>
      <c r="T57" s="3" t="n">
        <v>0</v>
      </c>
      <c r="U57" s="3" t="n">
        <v>0</v>
      </c>
      <c r="V57" s="235" t="n">
        <f aca="false">F57-N57</f>
        <v>-9.115</v>
      </c>
      <c r="W57" s="3" t="n">
        <f aca="false">H57-P57-O57</f>
        <v>-3.75</v>
      </c>
      <c r="X57" s="3" t="n">
        <f aca="false">I57-Q57</f>
        <v>5.58</v>
      </c>
      <c r="Y57" s="3" t="n">
        <f aca="false">J57-R57</f>
        <v>0.01656</v>
      </c>
      <c r="Z57" s="3" t="n">
        <f aca="false">K57-S57</f>
        <v>14.1661</v>
      </c>
      <c r="AA57" s="3" t="n">
        <f aca="false">L57-T57</f>
        <v>0</v>
      </c>
      <c r="AB57" s="3" t="n">
        <f aca="false">M57-U57</f>
        <v>0</v>
      </c>
      <c r="AC57" s="235" t="n">
        <f aca="false">$E57*F57</f>
        <v>18750</v>
      </c>
      <c r="AD57" s="3" t="n">
        <f aca="false">E57*H57</f>
        <v>0</v>
      </c>
      <c r="AE57" s="3" t="n">
        <f aca="false">E57*I57</f>
        <v>6975</v>
      </c>
      <c r="AF57" s="3" t="n">
        <f aca="false">E57*J57</f>
        <v>15.525</v>
      </c>
      <c r="AG57" s="3" t="n">
        <f aca="false">E57*K57</f>
        <v>10624.575</v>
      </c>
      <c r="AH57" s="3" t="n">
        <f aca="false">E57*L57</f>
        <v>0</v>
      </c>
      <c r="AI57" s="3" t="n">
        <f aca="false">E57*M57</f>
        <v>0</v>
      </c>
      <c r="AJ57" s="232" t="n">
        <f aca="false">$E57*N57</f>
        <v>25586.25</v>
      </c>
      <c r="AK57" s="3" t="n">
        <f aca="false">E57*O57</f>
        <v>2812.5</v>
      </c>
      <c r="AL57" s="3" t="n">
        <f aca="false">E57*P57</f>
        <v>0</v>
      </c>
      <c r="AM57" s="3" t="n">
        <f aca="false">E57*Q57</f>
        <v>2790</v>
      </c>
      <c r="AN57" s="3" t="n">
        <f aca="false">E57*R57</f>
        <v>3.105</v>
      </c>
      <c r="AO57" s="3" t="n">
        <f aca="false">E57*Z57</f>
        <v>10624.575</v>
      </c>
      <c r="AP57" s="3" t="n">
        <f aca="false">E57*T57</f>
        <v>0</v>
      </c>
      <c r="AQ57" s="231" t="n">
        <f aca="false">E57*U57</f>
        <v>0</v>
      </c>
      <c r="AR57" s="3" t="n">
        <f aca="false">AC57-AJ57</f>
        <v>-6836.25</v>
      </c>
      <c r="AS57" s="3" t="n">
        <f aca="false">AD57-AK57-AL57</f>
        <v>-2812.5</v>
      </c>
      <c r="AT57" s="3" t="n">
        <f aca="false">AE57-AM57</f>
        <v>4185</v>
      </c>
      <c r="AU57" s="3" t="n">
        <f aca="false">AF57-AN57</f>
        <v>12.42</v>
      </c>
      <c r="AV57" s="3" t="n">
        <f aca="false">AG57-AO57</f>
        <v>0</v>
      </c>
      <c r="AW57" s="3" t="n">
        <f aca="false">AH57-AP57</f>
        <v>0</v>
      </c>
      <c r="AX57" s="238" t="n">
        <f aca="false">AI57-AQ57</f>
        <v>0</v>
      </c>
      <c r="AY57" s="5" t="n">
        <f aca="false">E57*$C$23</f>
        <v>171750</v>
      </c>
      <c r="AZ57" s="5" t="n">
        <f aca="false">E57*$C$24</f>
        <v>69750</v>
      </c>
      <c r="BA57" s="230" t="n">
        <f aca="false">E57*$C$25</f>
        <v>155.25</v>
      </c>
      <c r="BB57" s="24" t="n">
        <f aca="false">$K$46*AR57</f>
        <v>-6836.25</v>
      </c>
      <c r="BC57" s="35" t="n">
        <f aca="false">$L$46*AR57</f>
        <v>-0</v>
      </c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 customFormat="false" ht="12.75" hidden="false" customHeight="true" outlineLevel="0" collapsed="false">
      <c r="A58" s="27"/>
      <c r="B58" s="56"/>
      <c r="C58" s="25" t="str">
        <f aca="false">$C$47</f>
        <v>Program 6</v>
      </c>
      <c r="D58" s="243" t="n">
        <v>0.01</v>
      </c>
      <c r="E58" s="230" t="n">
        <f aca="false">D58*$D$30</f>
        <v>150</v>
      </c>
      <c r="F58" s="3" t="n">
        <v>25</v>
      </c>
      <c r="G58" s="3" t="n">
        <f aca="false">$K$46*F58</f>
        <v>25</v>
      </c>
      <c r="H58" s="3" t="n">
        <f aca="false">IF($C$23&gt;$E$46,($C$23-$E$46)*$G$46,0)</f>
        <v>0</v>
      </c>
      <c r="I58" s="3" t="n">
        <f aca="false">IF($C$24&gt;$F$46,($C$24-$F$46)*$H$46,0)</f>
        <v>9.3</v>
      </c>
      <c r="J58" s="3" t="n">
        <f aca="false">$C$25*$I$46</f>
        <v>0.0207</v>
      </c>
      <c r="K58" s="3" t="n">
        <f aca="false">IF($E$46&gt;$C$23,($E$46-$C$23)*$C$8,0)</f>
        <v>14.1661</v>
      </c>
      <c r="L58" s="3" t="n">
        <f aca="false">IF($F$46&gt;$C$24,($F$46-$C$24)*$C$9,0)</f>
        <v>0</v>
      </c>
      <c r="M58" s="231" t="n">
        <v>0</v>
      </c>
      <c r="N58" s="232" t="n">
        <f aca="false">$C$2+($E$46*$C$8)+($F$46*$C$9)</f>
        <v>34.115</v>
      </c>
      <c r="O58" s="3" t="n">
        <f aca="false">$C$11*G58+$C$11*P58</f>
        <v>3.75</v>
      </c>
      <c r="P58" s="3" t="n">
        <f aca="false">IF($C$23&gt;$E$46,($C$23-$E$46)*$C$8,0)</f>
        <v>0</v>
      </c>
      <c r="Q58" s="3" t="n">
        <f aca="false">IF($C$24&gt;$F$46,($C$24-$F$46)*$C$9,0)</f>
        <v>3.72</v>
      </c>
      <c r="R58" s="3" t="n">
        <f aca="false">$C$25*($C$10*10000/1000000)</f>
        <v>0.00414</v>
      </c>
      <c r="S58" s="3" t="n">
        <v>0</v>
      </c>
      <c r="T58" s="3" t="n">
        <v>0</v>
      </c>
      <c r="U58" s="3" t="n">
        <v>0</v>
      </c>
      <c r="V58" s="235" t="n">
        <f aca="false">F58-N58</f>
        <v>-9.115</v>
      </c>
      <c r="W58" s="3" t="n">
        <f aca="false">H58-P58-O58</f>
        <v>-3.75</v>
      </c>
      <c r="X58" s="3" t="n">
        <f aca="false">I58-Q58</f>
        <v>5.58</v>
      </c>
      <c r="Y58" s="3" t="n">
        <f aca="false">J58-R58</f>
        <v>0.01656</v>
      </c>
      <c r="Z58" s="3" t="n">
        <f aca="false">K58-S58</f>
        <v>14.1661</v>
      </c>
      <c r="AA58" s="3" t="n">
        <f aca="false">L58-T58</f>
        <v>0</v>
      </c>
      <c r="AB58" s="3" t="n">
        <f aca="false">M58-U58</f>
        <v>0</v>
      </c>
      <c r="AC58" s="235" t="n">
        <f aca="false">$E58*F58</f>
        <v>3750</v>
      </c>
      <c r="AD58" s="3" t="n">
        <f aca="false">E58*H58</f>
        <v>0</v>
      </c>
      <c r="AE58" s="3" t="n">
        <f aca="false">E58*I58</f>
        <v>1395</v>
      </c>
      <c r="AF58" s="3" t="n">
        <f aca="false">E58*J58</f>
        <v>3.105</v>
      </c>
      <c r="AG58" s="3" t="n">
        <f aca="false">E58*K58</f>
        <v>2124.915</v>
      </c>
      <c r="AH58" s="3" t="n">
        <f aca="false">E58*L58</f>
        <v>0</v>
      </c>
      <c r="AI58" s="3" t="n">
        <f aca="false">E58*M58</f>
        <v>0</v>
      </c>
      <c r="AJ58" s="232" t="n">
        <f aca="false">$E58*N58</f>
        <v>5117.25</v>
      </c>
      <c r="AK58" s="3" t="n">
        <f aca="false">E58*O58</f>
        <v>562.5</v>
      </c>
      <c r="AL58" s="3" t="n">
        <f aca="false">E58*P58</f>
        <v>0</v>
      </c>
      <c r="AM58" s="3" t="n">
        <f aca="false">E58*Q58</f>
        <v>558</v>
      </c>
      <c r="AN58" s="3" t="n">
        <f aca="false">E58*R58</f>
        <v>0.621</v>
      </c>
      <c r="AO58" s="3" t="n">
        <f aca="false">E58*Z58</f>
        <v>2124.915</v>
      </c>
      <c r="AP58" s="3" t="n">
        <f aca="false">E58*T58</f>
        <v>0</v>
      </c>
      <c r="AQ58" s="231" t="n">
        <f aca="false">E58*U58</f>
        <v>0</v>
      </c>
      <c r="AR58" s="3" t="n">
        <f aca="false">AC58-AJ58</f>
        <v>-1367.25</v>
      </c>
      <c r="AS58" s="3" t="n">
        <f aca="false">AD58-AK58-AL58</f>
        <v>-562.5</v>
      </c>
      <c r="AT58" s="3" t="n">
        <f aca="false">AE58-AM58</f>
        <v>837</v>
      </c>
      <c r="AU58" s="3" t="n">
        <f aca="false">AF58-AN58</f>
        <v>2.484</v>
      </c>
      <c r="AV58" s="3" t="n">
        <f aca="false">AG58-AO58</f>
        <v>0</v>
      </c>
      <c r="AW58" s="3" t="n">
        <f aca="false">AH58-AP58</f>
        <v>0</v>
      </c>
      <c r="AX58" s="238" t="n">
        <f aca="false">AI58-AQ58</f>
        <v>0</v>
      </c>
      <c r="AY58" s="5" t="n">
        <f aca="false">E58*$C$23</f>
        <v>34350</v>
      </c>
      <c r="AZ58" s="5" t="n">
        <f aca="false">E58*$C$24</f>
        <v>13950</v>
      </c>
      <c r="BA58" s="230" t="n">
        <f aca="false">E58*$C$25</f>
        <v>31.05</v>
      </c>
      <c r="BB58" s="24" t="n">
        <f aca="false">$K$46*AR58</f>
        <v>-1367.25</v>
      </c>
      <c r="BC58" s="35" t="n">
        <f aca="false">$L$46*AR58</f>
        <v>-0</v>
      </c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 customFormat="false" ht="12.75" hidden="false" customHeight="true" outlineLevel="0" collapsed="false">
      <c r="A59" s="27"/>
      <c r="B59" s="56"/>
      <c r="C59" s="25" t="n">
        <f aca="false">$C$48</f>
        <v>0</v>
      </c>
      <c r="D59" s="243" t="n">
        <v>0</v>
      </c>
      <c r="E59" s="230" t="n">
        <f aca="false">D59*$D$30</f>
        <v>0</v>
      </c>
      <c r="F59" s="3" t="n">
        <v>35</v>
      </c>
      <c r="G59" s="3" t="n">
        <f aca="false">$K$48*F59</f>
        <v>35</v>
      </c>
      <c r="H59" s="3" t="n">
        <f aca="false">IF($C$23&gt;$E$48,($C$23-$E$48)*$G$48,0)</f>
        <v>0</v>
      </c>
      <c r="I59" s="3" t="n">
        <f aca="false">IF($C$24&gt;$F$48,($C$24-$F$48)*$H$48,0)</f>
        <v>0</v>
      </c>
      <c r="J59" s="3" t="n">
        <f aca="false">$C$25*$I$48</f>
        <v>0</v>
      </c>
      <c r="K59" s="3" t="n">
        <f aca="false">IF($E$48&gt;$C$23,($E$48-$C$23)*$C$8,0)</f>
        <v>0</v>
      </c>
      <c r="L59" s="3" t="n">
        <f aca="false">IF($F$48&gt;$C$24,($F$48-$C$24)*$C$9,0)</f>
        <v>0</v>
      </c>
      <c r="M59" s="231" t="n">
        <v>0</v>
      </c>
      <c r="N59" s="232" t="n">
        <f aca="false">$C$2+($E$48*$C$8)+($F$48*$C$9)</f>
        <v>5.27</v>
      </c>
      <c r="O59" s="3" t="n">
        <f aca="false">$C$11*G59+$C$11*P59</f>
        <v>7.451835</v>
      </c>
      <c r="P59" s="3" t="n">
        <f aca="false">IF($C$23&gt;$E$48,($C$23-$E$48)*$C$8,0)</f>
        <v>14.6789</v>
      </c>
      <c r="Q59" s="3" t="n">
        <f aca="false">IF($C$24&gt;$F$48,($C$24-$F$48)*$C$9,0)</f>
        <v>3.72</v>
      </c>
      <c r="R59" s="3" t="n">
        <f aca="false">$C$25*($C$10*10000/1000000)</f>
        <v>0.00414</v>
      </c>
      <c r="S59" s="3" t="n">
        <v>0</v>
      </c>
      <c r="T59" s="3" t="n">
        <v>0</v>
      </c>
      <c r="U59" s="3" t="n">
        <v>0</v>
      </c>
      <c r="V59" s="235" t="n">
        <f aca="false">F59-N59</f>
        <v>29.73</v>
      </c>
      <c r="W59" s="244" t="n">
        <f aca="false">H59-P59-O59</f>
        <v>-22.130735</v>
      </c>
      <c r="X59" s="3" t="n">
        <f aca="false">I59-Q59</f>
        <v>-3.72</v>
      </c>
      <c r="Y59" s="3" t="n">
        <f aca="false">J59-R59</f>
        <v>-0.00414</v>
      </c>
      <c r="Z59" s="3" t="n">
        <f aca="false">K59-S59</f>
        <v>0</v>
      </c>
      <c r="AA59" s="3" t="n">
        <f aca="false">L59-T59</f>
        <v>0</v>
      </c>
      <c r="AB59" s="3" t="n">
        <f aca="false">M59-U59</f>
        <v>0</v>
      </c>
      <c r="AC59" s="235" t="n">
        <f aca="false">$E59*F59</f>
        <v>0</v>
      </c>
      <c r="AD59" s="244" t="n">
        <f aca="false">E59*H59</f>
        <v>0</v>
      </c>
      <c r="AE59" s="244" t="n">
        <f aca="false">E59*I59</f>
        <v>0</v>
      </c>
      <c r="AF59" s="244" t="n">
        <f aca="false">E59*J59</f>
        <v>0</v>
      </c>
      <c r="AG59" s="244" t="n">
        <f aca="false">E59*K59</f>
        <v>0</v>
      </c>
      <c r="AH59" s="244" t="n">
        <f aca="false">E59*L59</f>
        <v>0</v>
      </c>
      <c r="AI59" s="244" t="n">
        <f aca="false">E59*M59</f>
        <v>0</v>
      </c>
      <c r="AJ59" s="245" t="n">
        <f aca="false">$E59*N59</f>
        <v>0</v>
      </c>
      <c r="AK59" s="244" t="n">
        <f aca="false">E59*O59</f>
        <v>0</v>
      </c>
      <c r="AL59" s="244" t="n">
        <f aca="false">E59*P59</f>
        <v>0</v>
      </c>
      <c r="AM59" s="244" t="n">
        <f aca="false">E59*Q59</f>
        <v>0</v>
      </c>
      <c r="AN59" s="244" t="n">
        <f aca="false">E59*R59</f>
        <v>0</v>
      </c>
      <c r="AO59" s="244" t="n">
        <f aca="false">E59*Z59</f>
        <v>0</v>
      </c>
      <c r="AP59" s="244" t="n">
        <f aca="false">E59*T59</f>
        <v>0</v>
      </c>
      <c r="AQ59" s="246" t="n">
        <f aca="false">E59*U59</f>
        <v>0</v>
      </c>
      <c r="AR59" s="3" t="n">
        <f aca="false">AC59-AJ59</f>
        <v>0</v>
      </c>
      <c r="AS59" s="3" t="n">
        <f aca="false">AD59-AK59-AL59</f>
        <v>0</v>
      </c>
      <c r="AT59" s="3" t="n">
        <f aca="false">AE59-AM59</f>
        <v>0</v>
      </c>
      <c r="AU59" s="3" t="n">
        <f aca="false">AF59-AN59</f>
        <v>0</v>
      </c>
      <c r="AV59" s="3" t="n">
        <f aca="false">AG59-AO59</f>
        <v>0</v>
      </c>
      <c r="AW59" s="3" t="n">
        <f aca="false">AH59-AP59</f>
        <v>0</v>
      </c>
      <c r="AX59" s="238" t="n">
        <f aca="false">AI59-AQ59</f>
        <v>0</v>
      </c>
      <c r="AY59" s="5" t="n">
        <f aca="false">E59*$C$23</f>
        <v>0</v>
      </c>
      <c r="AZ59" s="5" t="n">
        <f aca="false">E59*$C$24</f>
        <v>0</v>
      </c>
      <c r="BA59" s="230" t="n">
        <f aca="false">E59*$C$25</f>
        <v>0</v>
      </c>
      <c r="BB59" s="24" t="n">
        <f aca="false">$K$48*AR59</f>
        <v>0</v>
      </c>
      <c r="BC59" s="35" t="n">
        <f aca="false">$L$48*AR59</f>
        <v>0</v>
      </c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 customFormat="false" ht="12.75" hidden="false" customHeight="true" outlineLevel="0" collapsed="false">
      <c r="A60" s="27"/>
      <c r="B60" s="247"/>
      <c r="C60" s="248" t="s">
        <v>171</v>
      </c>
      <c r="D60" s="249"/>
      <c r="E60" s="250"/>
      <c r="F60" s="251" t="n">
        <f aca="false">(($E53*F53)+($E54*F54)+($E55*F55)+($E56*F56)+($E57*F57)+($E59*F59))/($E61)</f>
        <v>3.77</v>
      </c>
      <c r="G60" s="251" t="n">
        <f aca="false">(($E53*G53)+($E54*G54)+($E55*G55)+($E56*G56)+($E57*G57)+($E59*G59))/($E61)</f>
        <v>3.77</v>
      </c>
      <c r="H60" s="251" t="n">
        <f aca="false">(($E53*H53)+($E54*H54)+($E55*H55)+($E56*H56)+($E57*H57)+($E59*H59))/($E61)</f>
        <v>27.9139</v>
      </c>
      <c r="I60" s="251" t="n">
        <f aca="false">(($E53*I53)+($E54*I54)+($E55*I55)+($E56*I56)+($E57*I57)+($E59*I59))/($E61)</f>
        <v>10.323</v>
      </c>
      <c r="J60" s="251" t="n">
        <f aca="false">(($E53*J53)+($E54*J54)+($E55*J55)+($E56*J56)+($E57*J57)+($E59*J59))/($E61)</f>
        <v>0.020493</v>
      </c>
      <c r="K60" s="251" t="n">
        <f aca="false">(($E53*K53)+($E54*K54)+($E55*K55)+($E56*K56)+($E57*K57)+($E59*K59))/($E61)</f>
        <v>0.708305</v>
      </c>
      <c r="L60" s="251" t="n">
        <f aca="false">(($E53*L53)+($E54*L54)+($E55*L55)+($E56*L56)+($E57*L57)+($E59*L59))/($E61)</f>
        <v>0</v>
      </c>
      <c r="M60" s="251" t="n">
        <f aca="false">(($E53*M53)+($E54*M54)+($E55*M55)+($E56*M56)+($E57*M57)+($E59*M59))/($E61)</f>
        <v>2.156</v>
      </c>
      <c r="N60" s="252" t="n">
        <f aca="false">(($E53*N53)+($E54*N54)+($E55*N55)+($E56*N56)+($E57*N57)+($E59*N59))/($E61)</f>
        <v>8.758825</v>
      </c>
      <c r="O60" s="251" t="n">
        <f aca="false">(($E53*O53)+($E54*O54)+($E55*O55)+($E56*O56)+($E57*O57)+($E59*O59))/($E61)</f>
        <v>2.32033365</v>
      </c>
      <c r="P60" s="251" t="n">
        <f aca="false">(($E53*P53)+($E54*P54)+($E55*P55)+($E56*P56)+($E57*P57)+($E59*P59))/($E61)</f>
        <v>11.698891</v>
      </c>
      <c r="Q60" s="251" t="n">
        <f aca="false">(($E53*Q53)+($E54*Q54)+($E55*Q55)+($E56*Q56)+($E57*Q57)+($E59*Q59))/($E61)</f>
        <v>3.6828</v>
      </c>
      <c r="R60" s="251" t="n">
        <f aca="false">(($E53*R53)+($E54*R54)+($E55*R55)+($E56*R56)+($E57*R57)+($E59*R59))/($E61)</f>
        <v>0.0040986</v>
      </c>
      <c r="S60" s="251" t="n">
        <f aca="false">(($E53*S53)+($E54*S54)+($E55*S55)+($E56*S56)+($E57*S57)+($E59*S59))/($E61)</f>
        <v>0</v>
      </c>
      <c r="T60" s="251" t="n">
        <f aca="false">(($E53*T53)+($E54*T54)+($E55*T55)+($E56*T56)+($E57*T57)+($E59*T59))/($E61)</f>
        <v>0</v>
      </c>
      <c r="U60" s="251" t="n">
        <f aca="false">(($E53*U53)+($E54*U54)+($E55*U55)+($E56*U56)+($E57*U57)+($E59*U59))/($E61)</f>
        <v>0</v>
      </c>
      <c r="V60" s="253" t="n">
        <f aca="false">(($E53*V53)+($E54*V54)+($E55*V55)+($E56*V56)+($E57*V57)+($E59*V59))/($E61)</f>
        <v>-4.988825</v>
      </c>
      <c r="W60" s="251" t="n">
        <f aca="false">(($E53*W53)+($E54*W54)+($E55*W55)+($E56*W56)+($E57*W57)+($E59*W59))/($E61)</f>
        <v>13.89467535</v>
      </c>
      <c r="X60" s="251" t="n">
        <f aca="false">(($E53*X53)+($E54*X54)+($E55*X55)+($E56*X56)+($E57*X57)+($E59*X59))/($E61)</f>
        <v>6.6402</v>
      </c>
      <c r="Y60" s="251" t="n">
        <f aca="false">(($E53*Y53)+($E54*Y54)+($E55*Y55)+($E56*Y56)+($E57*Y57)+($E59*Y59))/($E61)</f>
        <v>0.0163944</v>
      </c>
      <c r="Z60" s="251" t="n">
        <f aca="false">(($E53*Z53)+($E54*Z54)+($E55*Z55)+($E56*Z56)+($E57*Z57)+($E59*Z59))/($E61)</f>
        <v>0.708305</v>
      </c>
      <c r="AA60" s="251" t="n">
        <f aca="false">(($E53*AA53)+($E54*AA54)+($E55*AA55)+($E56*AA56)+($E57*AA57)+($E59*AA59))/($E61)</f>
        <v>0</v>
      </c>
      <c r="AB60" s="251" t="n">
        <f aca="false">(($E53*AB53)+($E54*AB54)+($E55*AB55)+($E56*AB56)+($E57*AB57)+($E59*AB59))/($E61)</f>
        <v>2.156</v>
      </c>
      <c r="AC60" s="253" t="n">
        <f aca="false">SUM(AC53:AC59)/$E61</f>
        <v>4.02</v>
      </c>
      <c r="AD60" s="251" t="n">
        <f aca="false">SUM(AD53:AD59)/$E61</f>
        <v>27.9139</v>
      </c>
      <c r="AE60" s="251" t="n">
        <f aca="false">SUM(AE53:AE59)/$E61</f>
        <v>10.416</v>
      </c>
      <c r="AF60" s="251" t="n">
        <f aca="false">SUM(AF53:AF59)/$E61</f>
        <v>0.0207</v>
      </c>
      <c r="AG60" s="251" t="n">
        <f aca="false">SUM(AG53:AG59)/$E61</f>
        <v>0.849966</v>
      </c>
      <c r="AH60" s="251" t="n">
        <f aca="false">SUM(AH53:AH59)/$E61</f>
        <v>0</v>
      </c>
      <c r="AI60" s="251" t="n">
        <f aca="false">SUM(AI53:AI59)/$E61</f>
        <v>2.156</v>
      </c>
      <c r="AJ60" s="252" t="n">
        <f aca="false">SUM(AJ53:AJ59)/$E61</f>
        <v>9.099975</v>
      </c>
      <c r="AK60" s="251" t="n">
        <f aca="false">SUM(AK53:AK59)/$E61</f>
        <v>2.35783365</v>
      </c>
      <c r="AL60" s="251" t="n">
        <f aca="false">SUM(AL53:AL59)/$E61</f>
        <v>11.698891</v>
      </c>
      <c r="AM60" s="251" t="n">
        <f aca="false">SUM(AM53:AM59)/$E61</f>
        <v>3.72</v>
      </c>
      <c r="AN60" s="251" t="n">
        <f aca="false">SUM(AN53:AN59)/$E61</f>
        <v>0.00414</v>
      </c>
      <c r="AO60" s="251" t="n">
        <f aca="false">SUM(AO53:AO59)/$E61</f>
        <v>0.849966</v>
      </c>
      <c r="AP60" s="251" t="n">
        <f aca="false">SUM(AP53:AP59)/$E61</f>
        <v>0</v>
      </c>
      <c r="AQ60" s="251" t="n">
        <f aca="false">SUM(AQ53:AQ59)/$E61</f>
        <v>0</v>
      </c>
      <c r="AR60" s="252" t="n">
        <f aca="false">SUM(AR53:AR59)/$E61</f>
        <v>-5.079975</v>
      </c>
      <c r="AS60" s="251" t="n">
        <f aca="false">SUM(AS53:AS59)/$E61</f>
        <v>13.85717535</v>
      </c>
      <c r="AT60" s="251" t="n">
        <f aca="false">SUM(AT53:AT59)/$E61</f>
        <v>6.696</v>
      </c>
      <c r="AU60" s="251" t="n">
        <f aca="false">SUM(AU53:AU59)/$E61</f>
        <v>0.01656</v>
      </c>
      <c r="AV60" s="251" t="n">
        <f aca="false">SUM(AV53:AV59)/$E61</f>
        <v>0</v>
      </c>
      <c r="AW60" s="251" t="n">
        <f aca="false">SUM(AW53:AW59)/$E61</f>
        <v>0</v>
      </c>
      <c r="AX60" s="251" t="n">
        <f aca="false">SUM(AX53:AX59)/$E61</f>
        <v>2.156</v>
      </c>
      <c r="AY60" s="254" t="n">
        <f aca="false">SUM(AY53:AY59)/$E61</f>
        <v>229</v>
      </c>
      <c r="AZ60" s="255" t="n">
        <f aca="false">SUM(AZ53:AZ59)/$E61</f>
        <v>93</v>
      </c>
      <c r="BA60" s="256" t="n">
        <f aca="false">SUM(BA53:BA59)/$E61</f>
        <v>0.207</v>
      </c>
      <c r="BB60" s="253" t="n">
        <f aca="false">SUM(BB53:BB59)/$E61</f>
        <v>-1.549075</v>
      </c>
      <c r="BC60" s="257" t="n">
        <f aca="false">SUM(BC53:BC59)/$E61</f>
        <v>0</v>
      </c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 customFormat="false" ht="12.75" hidden="false" customHeight="true" outlineLevel="0" collapsed="false">
      <c r="A61" s="27"/>
      <c r="B61" s="258"/>
      <c r="C61" s="259" t="s">
        <v>73</v>
      </c>
      <c r="D61" s="260" t="n">
        <f aca="false">SUM(D53:D59)</f>
        <v>1</v>
      </c>
      <c r="E61" s="261" t="n">
        <f aca="false">SUM(E53:E59)</f>
        <v>15000</v>
      </c>
      <c r="F61" s="262"/>
      <c r="G61" s="262"/>
      <c r="H61" s="262"/>
      <c r="I61" s="262"/>
      <c r="J61" s="262"/>
      <c r="K61" s="262"/>
      <c r="L61" s="262"/>
      <c r="M61" s="263"/>
      <c r="N61" s="264"/>
      <c r="O61" s="262"/>
      <c r="P61" s="262"/>
      <c r="Q61" s="262"/>
      <c r="R61" s="262"/>
      <c r="S61" s="262"/>
      <c r="T61" s="262"/>
      <c r="U61" s="262"/>
      <c r="V61" s="265"/>
      <c r="W61" s="266"/>
      <c r="X61" s="262"/>
      <c r="Y61" s="262"/>
      <c r="Z61" s="262"/>
      <c r="AA61" s="262"/>
      <c r="AB61" s="262"/>
      <c r="AC61" s="267" t="n">
        <f aca="false">SUM(AC53:AC59)</f>
        <v>60300</v>
      </c>
      <c r="AD61" s="266" t="n">
        <f aca="false">SUM(AD53:AD59)</f>
        <v>418708.5</v>
      </c>
      <c r="AE61" s="266" t="n">
        <f aca="false">SUM(AE53:AE59)</f>
        <v>156240</v>
      </c>
      <c r="AF61" s="266" t="n">
        <f aca="false">SUM(AF53:AF59)</f>
        <v>310.5</v>
      </c>
      <c r="AG61" s="266" t="n">
        <f aca="false">SUM(AG53:AG59)</f>
        <v>12749.49</v>
      </c>
      <c r="AH61" s="266" t="n">
        <f aca="false">SUM(AH53:AH59)</f>
        <v>0</v>
      </c>
      <c r="AI61" s="266" t="n">
        <f aca="false">SUM(AI53:AI59)</f>
        <v>32340</v>
      </c>
      <c r="AJ61" s="268" t="n">
        <f aca="false">SUM(AJ53:AJ59)</f>
        <v>136499.625</v>
      </c>
      <c r="AK61" s="266" t="n">
        <f aca="false">SUM(AK53:AK59)</f>
        <v>35367.50475</v>
      </c>
      <c r="AL61" s="266" t="n">
        <f aca="false">SUM(AL53:AL59)</f>
        <v>175483.365</v>
      </c>
      <c r="AM61" s="266" t="n">
        <f aca="false">SUM(AM53:AM59)</f>
        <v>55800</v>
      </c>
      <c r="AN61" s="266" t="n">
        <f aca="false">SUM(AN53:AN59)</f>
        <v>62.1</v>
      </c>
      <c r="AO61" s="266" t="n">
        <f aca="false">SUM(AO53:AO59)</f>
        <v>12749.49</v>
      </c>
      <c r="AP61" s="266" t="n">
        <f aca="false">SUM(AP53:AP59)</f>
        <v>0</v>
      </c>
      <c r="AQ61" s="269" t="n">
        <f aca="false">SUM(AQ53:AQ59)</f>
        <v>0</v>
      </c>
      <c r="AR61" s="264" t="n">
        <f aca="false">SUM(AR53:AR59)</f>
        <v>-76199.625</v>
      </c>
      <c r="AS61" s="262" t="n">
        <f aca="false">SUM(AS53:AS59)</f>
        <v>207857.63025</v>
      </c>
      <c r="AT61" s="262" t="n">
        <f aca="false">SUM(AT53:AT59)</f>
        <v>100440</v>
      </c>
      <c r="AU61" s="262" t="n">
        <f aca="false">SUM(AU53:AU59)</f>
        <v>248.4</v>
      </c>
      <c r="AV61" s="262" t="n">
        <f aca="false">SUM(AV53:AV59)</f>
        <v>0</v>
      </c>
      <c r="AW61" s="262" t="n">
        <f aca="false">SUM(AW53:AW59)</f>
        <v>0</v>
      </c>
      <c r="AX61" s="270" t="n">
        <f aca="false">SUM(AX53:AX59)</f>
        <v>32340</v>
      </c>
      <c r="AY61" s="271" t="n">
        <f aca="false">SUM(AY53:AY59)</f>
        <v>3435000</v>
      </c>
      <c r="AZ61" s="272" t="n">
        <f aca="false">SUM(AZ53:AZ59)</f>
        <v>1395000</v>
      </c>
      <c r="BA61" s="261" t="n">
        <f aca="false">SUM(BA53:BA59)</f>
        <v>3105</v>
      </c>
      <c r="BB61" s="273" t="n">
        <f aca="false">SUM(BB53:BB59)</f>
        <v>-23236.125</v>
      </c>
      <c r="BC61" s="274" t="n">
        <f aca="false">SUM(BC53:BC59)</f>
        <v>0</v>
      </c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 customFormat="false" ht="12.75" hidden="false" customHeight="true" outlineLevel="0" collapsed="false">
      <c r="A62" s="27"/>
      <c r="B62" s="56" t="str">
        <f aca="false">B31</f>
        <v>Brand 2</v>
      </c>
      <c r="C62" s="275" t="str">
        <f aca="false">$C$42</f>
        <v>Program 1</v>
      </c>
      <c r="D62" s="276" t="n">
        <v>0.27</v>
      </c>
      <c r="E62" s="230" t="n">
        <f aca="false">D62*$D$31</f>
        <v>2700</v>
      </c>
      <c r="F62" s="235" t="n">
        <v>0</v>
      </c>
      <c r="G62" s="3" t="n">
        <f aca="false">$K$42*F62</f>
        <v>0</v>
      </c>
      <c r="H62" s="3" t="n">
        <f aca="false">IF($C$23&gt;$E$42,($C$23-$E$42)*$G$42,0)</f>
        <v>29.77</v>
      </c>
      <c r="I62" s="3" t="n">
        <f aca="false">IF($C$24&gt;$F$42,($C$24-$F$42)*$H$42,0)</f>
        <v>9.3</v>
      </c>
      <c r="J62" s="3" t="n">
        <f aca="false">$C$25*$I$42</f>
        <v>0.0207</v>
      </c>
      <c r="K62" s="3" t="n">
        <f aca="false">IF($E$42&gt;$C$23,($E$42-$C$23)*$C$8,0)</f>
        <v>0</v>
      </c>
      <c r="L62" s="3" t="n">
        <f aca="false">IF($F$42&gt;$C$24,($F$42-$C$24)*$C$9,0)</f>
        <v>0</v>
      </c>
      <c r="M62" s="231" t="n">
        <v>0</v>
      </c>
      <c r="N62" s="232" t="n">
        <f aca="false">$C$2+($E$42*$C$8)+($F$42*$C$9)</f>
        <v>5.27</v>
      </c>
      <c r="O62" s="3" t="n">
        <f aca="false">$C$11*G62+$C$11*P62</f>
        <v>2.201835</v>
      </c>
      <c r="P62" s="3" t="n">
        <f aca="false">IF($C$23&gt;$E$42,($C$23-$E$42)*$C$8,0)</f>
        <v>14.6789</v>
      </c>
      <c r="Q62" s="3" t="n">
        <f aca="false">IF($C$24&gt;$F$42,($C$24-$F$42)*$C$9,0)</f>
        <v>3.72</v>
      </c>
      <c r="R62" s="3" t="n">
        <f aca="false">$C$25*($C$10*10000/1000000)</f>
        <v>0.00414</v>
      </c>
      <c r="S62" s="3" t="n">
        <v>0</v>
      </c>
      <c r="T62" s="3" t="n">
        <v>0</v>
      </c>
      <c r="U62" s="3" t="n">
        <v>0</v>
      </c>
      <c r="V62" s="235" t="n">
        <f aca="false">F62-N62</f>
        <v>-5.27</v>
      </c>
      <c r="W62" s="277" t="n">
        <f aca="false">H62-P62-O62</f>
        <v>12.889265</v>
      </c>
      <c r="X62" s="3" t="n">
        <f aca="false">I62-Q62</f>
        <v>5.58</v>
      </c>
      <c r="Y62" s="3" t="n">
        <f aca="false">J62-R62</f>
        <v>0.01656</v>
      </c>
      <c r="Z62" s="3" t="n">
        <f aca="false">K62-S62</f>
        <v>0</v>
      </c>
      <c r="AA62" s="3" t="n">
        <f aca="false">L62-T62</f>
        <v>0</v>
      </c>
      <c r="AB62" s="3" t="n">
        <f aca="false">M62-U62</f>
        <v>0</v>
      </c>
      <c r="AC62" s="278" t="n">
        <f aca="false">$E62*F62</f>
        <v>0</v>
      </c>
      <c r="AD62" s="277" t="n">
        <f aca="false">E62*H62</f>
        <v>80379</v>
      </c>
      <c r="AE62" s="277" t="n">
        <f aca="false">E62*I62</f>
        <v>25110</v>
      </c>
      <c r="AF62" s="277" t="n">
        <f aca="false">E62*J62</f>
        <v>55.89</v>
      </c>
      <c r="AG62" s="277" t="n">
        <f aca="false">E62*K62</f>
        <v>0</v>
      </c>
      <c r="AH62" s="277" t="n">
        <f aca="false">E62*L62</f>
        <v>0</v>
      </c>
      <c r="AI62" s="279" t="n">
        <f aca="false">E62*M62</f>
        <v>0</v>
      </c>
      <c r="AJ62" s="280" t="n">
        <f aca="false">$E62*N62</f>
        <v>14229</v>
      </c>
      <c r="AK62" s="277" t="n">
        <f aca="false">E62*O62</f>
        <v>5944.9545</v>
      </c>
      <c r="AL62" s="277" t="n">
        <f aca="false">E62*P62</f>
        <v>39633.03</v>
      </c>
      <c r="AM62" s="277" t="n">
        <f aca="false">E62*Q62</f>
        <v>10044</v>
      </c>
      <c r="AN62" s="277" t="n">
        <f aca="false">E62*R62</f>
        <v>11.178</v>
      </c>
      <c r="AO62" s="277" t="n">
        <f aca="false">E62*Z62</f>
        <v>0</v>
      </c>
      <c r="AP62" s="277" t="n">
        <f aca="false">E62*T62</f>
        <v>0</v>
      </c>
      <c r="AQ62" s="279" t="n">
        <f aca="false">E62*U62</f>
        <v>0</v>
      </c>
      <c r="AR62" s="3" t="n">
        <f aca="false">AC62-AJ62</f>
        <v>-14229</v>
      </c>
      <c r="AS62" s="3" t="n">
        <f aca="false">AD62-AK62-AL62</f>
        <v>34801.0155</v>
      </c>
      <c r="AT62" s="3" t="n">
        <f aca="false">AE62-AM62</f>
        <v>15066</v>
      </c>
      <c r="AU62" s="3" t="n">
        <f aca="false">AF62-AN62</f>
        <v>44.712</v>
      </c>
      <c r="AV62" s="3" t="n">
        <f aca="false">AG62-AO62</f>
        <v>0</v>
      </c>
      <c r="AW62" s="3" t="n">
        <f aca="false">AH62-AP62</f>
        <v>0</v>
      </c>
      <c r="AX62" s="238" t="n">
        <f aca="false">AI62-AQ62</f>
        <v>0</v>
      </c>
      <c r="AY62" s="5" t="n">
        <f aca="false">E62*$C$23</f>
        <v>618300</v>
      </c>
      <c r="AZ62" s="5" t="n">
        <f aca="false">E62*$C$24</f>
        <v>251100</v>
      </c>
      <c r="BA62" s="230" t="n">
        <f aca="false">E62*$C$25</f>
        <v>558.9</v>
      </c>
      <c r="BB62" s="24" t="n">
        <f aca="false">$K$42*AR62</f>
        <v>-0</v>
      </c>
      <c r="BC62" s="35" t="n">
        <f aca="false">$L$42*AR62</f>
        <v>-0</v>
      </c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customFormat="false" ht="12.75" hidden="false" customHeight="true" outlineLevel="0" collapsed="false">
      <c r="A63" s="27"/>
      <c r="B63" s="56"/>
      <c r="C63" s="25" t="str">
        <f aca="false">$C$43</f>
        <v>Program 2</v>
      </c>
      <c r="D63" s="276" t="n">
        <v>0.4</v>
      </c>
      <c r="E63" s="230" t="n">
        <f aca="false">D63*$D$31</f>
        <v>4000</v>
      </c>
      <c r="F63" s="235" t="n">
        <v>0</v>
      </c>
      <c r="G63" s="3" t="n">
        <f aca="false">$K$43*F63</f>
        <v>0</v>
      </c>
      <c r="H63" s="3" t="n">
        <f aca="false">IF($C$23&gt;$E$43,($C$23-$E$43)*$G$43,0)</f>
        <v>38.93</v>
      </c>
      <c r="I63" s="3" t="n">
        <f aca="false">IF($C$24&gt;$F$43,($C$24-$F$43)*$H$43,0)</f>
        <v>12.09</v>
      </c>
      <c r="J63" s="3" t="n">
        <f aca="false">$C$25*$I$43</f>
        <v>0.0207</v>
      </c>
      <c r="K63" s="3" t="n">
        <f aca="false">IF($E$43&gt;$C$23,($E$43-$C$23)*$C$8,0)</f>
        <v>0</v>
      </c>
      <c r="L63" s="3" t="n">
        <f aca="false">IF($F$43&gt;$C$24,($F$43-$C$24)*$C$9,0)</f>
        <v>0</v>
      </c>
      <c r="M63" s="231" t="n">
        <v>4.2</v>
      </c>
      <c r="N63" s="232" t="n">
        <f aca="false">$C$2+($E$43*$C$8)+($F$43*$C$9)</f>
        <v>5.27</v>
      </c>
      <c r="O63" s="3" t="n">
        <f aca="false">$C$11*G63+$C$11*P63</f>
        <v>2.201835</v>
      </c>
      <c r="P63" s="3" t="n">
        <f aca="false">IF($C$23&gt;$E$43,($C$23-$E$43)*$C$8,0)</f>
        <v>14.6789</v>
      </c>
      <c r="Q63" s="3" t="n">
        <f aca="false">IF($C$24&gt;$F$43,($C$24-$F$43)*$C$9,0)</f>
        <v>3.72</v>
      </c>
      <c r="R63" s="3" t="n">
        <f aca="false">$C$25*($C$10*10000/1000000)</f>
        <v>0.00414</v>
      </c>
      <c r="S63" s="3" t="n">
        <v>0</v>
      </c>
      <c r="T63" s="3" t="n">
        <v>0</v>
      </c>
      <c r="U63" s="3" t="n">
        <v>0</v>
      </c>
      <c r="V63" s="235" t="n">
        <f aca="false">F63-N63</f>
        <v>-5.27</v>
      </c>
      <c r="W63" s="3" t="n">
        <f aca="false">H63-P63-O63</f>
        <v>22.049265</v>
      </c>
      <c r="X63" s="3" t="n">
        <f aca="false">I63-Q63</f>
        <v>8.37</v>
      </c>
      <c r="Y63" s="3" t="n">
        <f aca="false">J63-R63</f>
        <v>0.01656</v>
      </c>
      <c r="Z63" s="3" t="n">
        <f aca="false">K63-S63</f>
        <v>0</v>
      </c>
      <c r="AA63" s="3" t="n">
        <f aca="false">L63-T63</f>
        <v>0</v>
      </c>
      <c r="AB63" s="3" t="n">
        <f aca="false">M63-U63</f>
        <v>4.2</v>
      </c>
      <c r="AC63" s="235" t="n">
        <f aca="false">$E63*F63</f>
        <v>0</v>
      </c>
      <c r="AD63" s="3" t="n">
        <f aca="false">E63*H63</f>
        <v>155720</v>
      </c>
      <c r="AE63" s="3" t="n">
        <f aca="false">E63*I63</f>
        <v>48360</v>
      </c>
      <c r="AF63" s="3" t="n">
        <f aca="false">E63*J63</f>
        <v>82.8</v>
      </c>
      <c r="AG63" s="3" t="n">
        <f aca="false">E63*K63</f>
        <v>0</v>
      </c>
      <c r="AH63" s="3" t="n">
        <f aca="false">E63*L63</f>
        <v>0</v>
      </c>
      <c r="AI63" s="231" t="n">
        <f aca="false">E63*M63</f>
        <v>16800</v>
      </c>
      <c r="AJ63" s="232" t="n">
        <f aca="false">$E63*N63</f>
        <v>21080</v>
      </c>
      <c r="AK63" s="3" t="n">
        <f aca="false">E63*O63</f>
        <v>8807.34</v>
      </c>
      <c r="AL63" s="3" t="n">
        <f aca="false">E63*P63</f>
        <v>58715.6</v>
      </c>
      <c r="AM63" s="3" t="n">
        <f aca="false">E63*Q63</f>
        <v>14880</v>
      </c>
      <c r="AN63" s="3" t="n">
        <f aca="false">E63*R63</f>
        <v>16.56</v>
      </c>
      <c r="AO63" s="3" t="n">
        <f aca="false">E63*Z63</f>
        <v>0</v>
      </c>
      <c r="AP63" s="3" t="n">
        <f aca="false">E63*T63</f>
        <v>0</v>
      </c>
      <c r="AQ63" s="231" t="n">
        <f aca="false">E63*U63</f>
        <v>0</v>
      </c>
      <c r="AR63" s="3" t="n">
        <f aca="false">AC63-AJ63</f>
        <v>-21080</v>
      </c>
      <c r="AS63" s="3" t="n">
        <f aca="false">AD63-AK63-AL63</f>
        <v>88197.06</v>
      </c>
      <c r="AT63" s="3" t="n">
        <f aca="false">AE63-AM63</f>
        <v>33480</v>
      </c>
      <c r="AU63" s="3" t="n">
        <f aca="false">AF63-AN63</f>
        <v>66.24</v>
      </c>
      <c r="AV63" s="3" t="n">
        <f aca="false">AG63-AO63</f>
        <v>0</v>
      </c>
      <c r="AW63" s="3" t="n">
        <f aca="false">AH63-AP63</f>
        <v>0</v>
      </c>
      <c r="AX63" s="238" t="n">
        <f aca="false">AI63-AQ63</f>
        <v>16800</v>
      </c>
      <c r="AY63" s="5" t="n">
        <f aca="false">E63*$C$23</f>
        <v>916000</v>
      </c>
      <c r="AZ63" s="5" t="n">
        <f aca="false">E63*$C$24</f>
        <v>372000</v>
      </c>
      <c r="BA63" s="230" t="n">
        <f aca="false">E63*$C$25</f>
        <v>828</v>
      </c>
      <c r="BB63" s="24" t="n">
        <f aca="false">$K$43*AR63</f>
        <v>-0</v>
      </c>
      <c r="BC63" s="35" t="n">
        <f aca="false">$L$43*AR63</f>
        <v>-0</v>
      </c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customFormat="false" ht="12.75" hidden="false" customHeight="true" outlineLevel="0" collapsed="false">
      <c r="A64" s="27"/>
      <c r="B64" s="56"/>
      <c r="C64" s="25" t="str">
        <f aca="false">$C$44</f>
        <v>Program 3</v>
      </c>
      <c r="D64" s="281" t="n">
        <f aca="false">D55</f>
        <v>0.17</v>
      </c>
      <c r="E64" s="230" t="n">
        <f aca="false">D64*$D$31</f>
        <v>1700</v>
      </c>
      <c r="F64" s="235" t="n">
        <v>6</v>
      </c>
      <c r="G64" s="3" t="n">
        <f aca="false">$K$44*F64</f>
        <v>6</v>
      </c>
      <c r="H64" s="3" t="n">
        <f aca="false">IF($C$23&gt;$E$44,($C$23-$E$44)*$G$44,0)</f>
        <v>23.1</v>
      </c>
      <c r="I64" s="3" t="n">
        <f aca="false">IF($C$24&gt;$F$44,($C$24-$F$44)*$H$44,0)</f>
        <v>9.3</v>
      </c>
      <c r="J64" s="3" t="n">
        <f aca="false">$C$25*$I$44</f>
        <v>0.0207</v>
      </c>
      <c r="K64" s="3" t="n">
        <f aca="false">IF($E$44&gt;$C$23,($E$44-$C$23)*$C$8,0)</f>
        <v>0</v>
      </c>
      <c r="L64" s="3" t="n">
        <f aca="false">IF($F$44&gt;$C$24,($F$44-$C$24)*$C$9,0)</f>
        <v>0</v>
      </c>
      <c r="M64" s="231" t="n">
        <v>2.8</v>
      </c>
      <c r="N64" s="232" t="n">
        <f aca="false">$C$2+($E$44*$C$8)+($F$44*$C$9)</f>
        <v>10.0775</v>
      </c>
      <c r="O64" s="3" t="n">
        <f aca="false">$C$11*G64+$C$11*P64</f>
        <v>2.38071</v>
      </c>
      <c r="P64" s="3" t="n">
        <f aca="false">IF($C$23&gt;$E$44,($C$23-$E$44)*$C$8,0)</f>
        <v>9.8714</v>
      </c>
      <c r="Q64" s="3" t="n">
        <f aca="false">IF($C$24&gt;$F$44,($C$24-$F$44)*$C$9,0)</f>
        <v>3.72</v>
      </c>
      <c r="R64" s="3" t="n">
        <f aca="false">$C$25*($C$10*10000/1000000)</f>
        <v>0.00414</v>
      </c>
      <c r="S64" s="3" t="n">
        <v>0</v>
      </c>
      <c r="T64" s="3" t="n">
        <v>0</v>
      </c>
      <c r="U64" s="3" t="n">
        <v>0</v>
      </c>
      <c r="V64" s="235" t="n">
        <f aca="false">F64-N64</f>
        <v>-4.0775</v>
      </c>
      <c r="W64" s="3" t="n">
        <f aca="false">H64-P64-O64</f>
        <v>10.84789</v>
      </c>
      <c r="X64" s="3" t="n">
        <f aca="false">I64-Q64</f>
        <v>5.58</v>
      </c>
      <c r="Y64" s="3" t="n">
        <f aca="false">J64-R64</f>
        <v>0.01656</v>
      </c>
      <c r="Z64" s="3" t="n">
        <f aca="false">K64-S64</f>
        <v>0</v>
      </c>
      <c r="AA64" s="3" t="n">
        <f aca="false">L64-T64</f>
        <v>0</v>
      </c>
      <c r="AB64" s="3" t="n">
        <f aca="false">M64-U64</f>
        <v>2.8</v>
      </c>
      <c r="AC64" s="235" t="n">
        <f aca="false">$E64*F64</f>
        <v>10200</v>
      </c>
      <c r="AD64" s="3" t="n">
        <f aca="false">E64*H64</f>
        <v>39270</v>
      </c>
      <c r="AE64" s="3" t="n">
        <f aca="false">E64*I64</f>
        <v>15810</v>
      </c>
      <c r="AF64" s="3" t="n">
        <f aca="false">E64*J64</f>
        <v>35.19</v>
      </c>
      <c r="AG64" s="3" t="n">
        <f aca="false">E64*K64</f>
        <v>0</v>
      </c>
      <c r="AH64" s="3" t="n">
        <f aca="false">E64*L64</f>
        <v>0</v>
      </c>
      <c r="AI64" s="231" t="n">
        <f aca="false">E64*M64</f>
        <v>4760</v>
      </c>
      <c r="AJ64" s="232" t="n">
        <f aca="false">$E64*N64</f>
        <v>17131.75</v>
      </c>
      <c r="AK64" s="3" t="n">
        <f aca="false">E64*O64</f>
        <v>4047.207</v>
      </c>
      <c r="AL64" s="3" t="n">
        <f aca="false">E64*P64</f>
        <v>16781.38</v>
      </c>
      <c r="AM64" s="3" t="n">
        <f aca="false">E64*Q64</f>
        <v>6324</v>
      </c>
      <c r="AN64" s="3" t="n">
        <f aca="false">E64*R64</f>
        <v>7.038</v>
      </c>
      <c r="AO64" s="3" t="n">
        <f aca="false">E64*Z64</f>
        <v>0</v>
      </c>
      <c r="AP64" s="3" t="n">
        <f aca="false">E64*T64</f>
        <v>0</v>
      </c>
      <c r="AQ64" s="231" t="n">
        <f aca="false">E64*U64</f>
        <v>0</v>
      </c>
      <c r="AR64" s="3" t="n">
        <f aca="false">AC64-AJ64</f>
        <v>-6931.75</v>
      </c>
      <c r="AS64" s="3" t="n">
        <f aca="false">AD64-AK64-AL64</f>
        <v>18441.413</v>
      </c>
      <c r="AT64" s="3" t="n">
        <f aca="false">AE64-AM64</f>
        <v>9486</v>
      </c>
      <c r="AU64" s="3" t="n">
        <f aca="false">AF64-AN64</f>
        <v>28.152</v>
      </c>
      <c r="AV64" s="3" t="n">
        <f aca="false">AG64-AO64</f>
        <v>0</v>
      </c>
      <c r="AW64" s="3" t="n">
        <f aca="false">AH64-AP64</f>
        <v>0</v>
      </c>
      <c r="AX64" s="238" t="n">
        <f aca="false">AI64-AQ64</f>
        <v>4760</v>
      </c>
      <c r="AY64" s="5" t="n">
        <f aca="false">E64*$C$23</f>
        <v>389300</v>
      </c>
      <c r="AZ64" s="5" t="n">
        <f aca="false">E64*$C$24</f>
        <v>158100</v>
      </c>
      <c r="BA64" s="230" t="n">
        <f aca="false">E64*$C$25</f>
        <v>351.9</v>
      </c>
      <c r="BB64" s="24" t="n">
        <f aca="false">$K$44*AR64</f>
        <v>-6931.75</v>
      </c>
      <c r="BC64" s="35" t="n">
        <f aca="false">$L$44*AR64</f>
        <v>-0</v>
      </c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customFormat="false" ht="12.75" hidden="false" customHeight="true" outlineLevel="0" collapsed="false">
      <c r="A65" s="27"/>
      <c r="B65" s="56"/>
      <c r="C65" s="25" t="str">
        <f aca="false">$C$45</f>
        <v>Program 4</v>
      </c>
      <c r="D65" s="281" t="n">
        <f aca="false">D56</f>
        <v>0.1</v>
      </c>
      <c r="E65" s="230" t="n">
        <f aca="false">D65*$D$31</f>
        <v>1000</v>
      </c>
      <c r="F65" s="235" t="n">
        <v>15</v>
      </c>
      <c r="G65" s="3" t="n">
        <f aca="false">$K$45*F65</f>
        <v>15</v>
      </c>
      <c r="H65" s="3" t="n">
        <f aca="false">IF($C$23&gt;$E$45,($C$23-$E$45)*$G$45,0)</f>
        <v>3.77</v>
      </c>
      <c r="I65" s="3" t="n">
        <f aca="false">IF($C$24&gt;$F$45,($C$24-$F$45)*$H$45,0)</f>
        <v>9.3</v>
      </c>
      <c r="J65" s="3" t="n">
        <f aca="false">$C$25*$I$45</f>
        <v>0.0207</v>
      </c>
      <c r="K65" s="3" t="n">
        <f aca="false">IF($E$45&gt;$C$23,($E$45-$C$23)*$C$8,0)</f>
        <v>0</v>
      </c>
      <c r="L65" s="3" t="n">
        <f aca="false">IF($F$45&gt;$C$24,($F$45-$C$24)*$C$9,0)</f>
        <v>0</v>
      </c>
      <c r="M65" s="231" t="n">
        <v>0</v>
      </c>
      <c r="N65" s="232" t="n">
        <f aca="false">$C$2+($E$45*$C$8)+($F$45*$C$9)</f>
        <v>18.09</v>
      </c>
      <c r="O65" s="3" t="n">
        <f aca="false">$C$11*G65+$C$11*P65</f>
        <v>2.528835</v>
      </c>
      <c r="P65" s="3" t="n">
        <f aca="false">IF($C$23&gt;$E$45,($C$23-$E$45)*$C$8,0)</f>
        <v>1.8589</v>
      </c>
      <c r="Q65" s="3" t="n">
        <f aca="false">IF($C$24&gt;$F$45,($C$24-$F$45)*$C$9,0)</f>
        <v>3.72</v>
      </c>
      <c r="R65" s="3" t="n">
        <f aca="false">$C$25*($C$10*10000/1000000)</f>
        <v>0.00414</v>
      </c>
      <c r="S65" s="3" t="n">
        <v>0</v>
      </c>
      <c r="T65" s="3" t="n">
        <v>0</v>
      </c>
      <c r="U65" s="3" t="n">
        <v>0</v>
      </c>
      <c r="V65" s="235" t="n">
        <f aca="false">F65-N65</f>
        <v>-3.09</v>
      </c>
      <c r="W65" s="3" t="n">
        <f aca="false">H65-P65-O65</f>
        <v>-0.617735</v>
      </c>
      <c r="X65" s="3" t="n">
        <f aca="false">I65-Q65</f>
        <v>5.58</v>
      </c>
      <c r="Y65" s="3" t="n">
        <f aca="false">J65-R65</f>
        <v>0.01656</v>
      </c>
      <c r="Z65" s="3" t="n">
        <f aca="false">K65-S65</f>
        <v>0</v>
      </c>
      <c r="AA65" s="3" t="n">
        <f aca="false">L65-T65</f>
        <v>0</v>
      </c>
      <c r="AB65" s="3" t="n">
        <f aca="false">M65-U65</f>
        <v>0</v>
      </c>
      <c r="AC65" s="235" t="n">
        <f aca="false">$E65*F65</f>
        <v>15000</v>
      </c>
      <c r="AD65" s="3" t="n">
        <f aca="false">E65*H65</f>
        <v>3770</v>
      </c>
      <c r="AE65" s="3" t="n">
        <f aca="false">E65*I65</f>
        <v>9300</v>
      </c>
      <c r="AF65" s="3" t="n">
        <f aca="false">E65*J65</f>
        <v>20.7</v>
      </c>
      <c r="AG65" s="3" t="n">
        <f aca="false">E65*K65</f>
        <v>0</v>
      </c>
      <c r="AH65" s="3" t="n">
        <f aca="false">E65*L65</f>
        <v>0</v>
      </c>
      <c r="AI65" s="231" t="n">
        <f aca="false">E65*M65</f>
        <v>0</v>
      </c>
      <c r="AJ65" s="232" t="n">
        <f aca="false">$E65*N65</f>
        <v>18090</v>
      </c>
      <c r="AK65" s="3" t="n">
        <f aca="false">E65*O65</f>
        <v>2528.835</v>
      </c>
      <c r="AL65" s="3" t="n">
        <f aca="false">E65*P65</f>
        <v>1858.9</v>
      </c>
      <c r="AM65" s="3" t="n">
        <f aca="false">E65*Q65</f>
        <v>3720</v>
      </c>
      <c r="AN65" s="3" t="n">
        <f aca="false">E65*R65</f>
        <v>4.14</v>
      </c>
      <c r="AO65" s="3" t="n">
        <f aca="false">E65*Z65</f>
        <v>0</v>
      </c>
      <c r="AP65" s="3" t="n">
        <f aca="false">E65*T65</f>
        <v>0</v>
      </c>
      <c r="AQ65" s="231" t="n">
        <f aca="false">E65*U65</f>
        <v>0</v>
      </c>
      <c r="AR65" s="3" t="n">
        <f aca="false">AC65-AJ65</f>
        <v>-3090</v>
      </c>
      <c r="AS65" s="3" t="n">
        <f aca="false">AD65-AK65-AL65</f>
        <v>-617.735</v>
      </c>
      <c r="AT65" s="3" t="n">
        <f aca="false">AE65-AM65</f>
        <v>5580</v>
      </c>
      <c r="AU65" s="3" t="n">
        <f aca="false">AF65-AN65</f>
        <v>16.56</v>
      </c>
      <c r="AV65" s="3" t="n">
        <f aca="false">AG65-AO65</f>
        <v>0</v>
      </c>
      <c r="AW65" s="3" t="n">
        <f aca="false">AH65-AP65</f>
        <v>0</v>
      </c>
      <c r="AX65" s="238" t="n">
        <f aca="false">AI65-AQ65</f>
        <v>0</v>
      </c>
      <c r="AY65" s="5" t="n">
        <f aca="false">E65*$C$23</f>
        <v>229000</v>
      </c>
      <c r="AZ65" s="5" t="n">
        <f aca="false">E65*$C$24</f>
        <v>93000</v>
      </c>
      <c r="BA65" s="230" t="n">
        <f aca="false">E65*$C$25</f>
        <v>207</v>
      </c>
      <c r="BB65" s="24" t="n">
        <f aca="false">$K$45*AR65</f>
        <v>-3090</v>
      </c>
      <c r="BC65" s="35" t="n">
        <f aca="false">$L$45*AR65</f>
        <v>-0</v>
      </c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customFormat="false" ht="12.75" hidden="false" customHeight="true" outlineLevel="0" collapsed="false">
      <c r="A66" s="1"/>
      <c r="B66" s="56"/>
      <c r="C66" s="25" t="str">
        <f aca="false">$C$46</f>
        <v>Program 5</v>
      </c>
      <c r="D66" s="281" t="n">
        <f aca="false">D57</f>
        <v>0.05</v>
      </c>
      <c r="E66" s="230" t="n">
        <f aca="false">D66*$D$31</f>
        <v>500</v>
      </c>
      <c r="F66" s="235" t="n">
        <v>25</v>
      </c>
      <c r="G66" s="3" t="n">
        <f aca="false">$K$46*F66</f>
        <v>25</v>
      </c>
      <c r="H66" s="3" t="n">
        <f aca="false">IF($C$23&gt;$E$46,($C$23-$E$46)*$G$46,0)</f>
        <v>0</v>
      </c>
      <c r="I66" s="3" t="n">
        <f aca="false">IF($C$24&gt;$F$46,($C$24-$F$46)*$H$46,0)</f>
        <v>9.3</v>
      </c>
      <c r="J66" s="3" t="n">
        <f aca="false">$C$25*$I$46</f>
        <v>0.0207</v>
      </c>
      <c r="K66" s="3" t="n">
        <f aca="false">IF($E$46&gt;$C$23,($E$46-$C$23)*$C$8,0)</f>
        <v>14.1661</v>
      </c>
      <c r="L66" s="3" t="n">
        <f aca="false">IF($F$46&gt;$C$24,($F$46-$C$24)*$C$9,0)</f>
        <v>0</v>
      </c>
      <c r="M66" s="231" t="n">
        <v>0</v>
      </c>
      <c r="N66" s="232" t="n">
        <f aca="false">$C$2+($E$46*$C$8)+($F$46*$C$9)</f>
        <v>34.115</v>
      </c>
      <c r="O66" s="3" t="n">
        <f aca="false">$C$11*G66+$C$11*P66</f>
        <v>3.75</v>
      </c>
      <c r="P66" s="3" t="n">
        <f aca="false">IF($C$23&gt;$E$46,($C$23-$E$46)*$C$8,0)</f>
        <v>0</v>
      </c>
      <c r="Q66" s="3" t="n">
        <f aca="false">IF($C$24&gt;$F$46,($C$24-$F$46)*$C$9,0)</f>
        <v>3.72</v>
      </c>
      <c r="R66" s="3" t="n">
        <f aca="false">$C$25*($C$10*10000/1000000)</f>
        <v>0.00414</v>
      </c>
      <c r="S66" s="3" t="n">
        <v>0</v>
      </c>
      <c r="T66" s="3" t="n">
        <v>0</v>
      </c>
      <c r="U66" s="3" t="n">
        <v>0</v>
      </c>
      <c r="V66" s="235" t="n">
        <f aca="false">F66-N66</f>
        <v>-9.115</v>
      </c>
      <c r="W66" s="3" t="n">
        <f aca="false">H66-P66-O66</f>
        <v>-3.75</v>
      </c>
      <c r="X66" s="3" t="n">
        <f aca="false">I66-Q66</f>
        <v>5.58</v>
      </c>
      <c r="Y66" s="3" t="n">
        <f aca="false">J66-R66</f>
        <v>0.01656</v>
      </c>
      <c r="Z66" s="3" t="n">
        <f aca="false">K66-S66</f>
        <v>14.1661</v>
      </c>
      <c r="AA66" s="3" t="n">
        <f aca="false">L66-T66</f>
        <v>0</v>
      </c>
      <c r="AB66" s="3" t="n">
        <f aca="false">M66-U66</f>
        <v>0</v>
      </c>
      <c r="AC66" s="235" t="n">
        <f aca="false">$E66*F66</f>
        <v>12500</v>
      </c>
      <c r="AD66" s="3" t="n">
        <f aca="false">E66*H66</f>
        <v>0</v>
      </c>
      <c r="AE66" s="3" t="n">
        <f aca="false">E66*I66</f>
        <v>4650</v>
      </c>
      <c r="AF66" s="3" t="n">
        <f aca="false">E66*J66</f>
        <v>10.35</v>
      </c>
      <c r="AG66" s="3" t="n">
        <f aca="false">E66*K66</f>
        <v>7083.05</v>
      </c>
      <c r="AH66" s="3" t="n">
        <f aca="false">E66*L66</f>
        <v>0</v>
      </c>
      <c r="AI66" s="231" t="n">
        <f aca="false">E66*M66</f>
        <v>0</v>
      </c>
      <c r="AJ66" s="232" t="n">
        <f aca="false">$E66*N66</f>
        <v>17057.5</v>
      </c>
      <c r="AK66" s="3" t="n">
        <f aca="false">E66*O66</f>
        <v>1875</v>
      </c>
      <c r="AL66" s="3" t="n">
        <f aca="false">E66*P66</f>
        <v>0</v>
      </c>
      <c r="AM66" s="3" t="n">
        <f aca="false">E66*Q66</f>
        <v>1860</v>
      </c>
      <c r="AN66" s="3" t="n">
        <f aca="false">E66*R66</f>
        <v>2.07</v>
      </c>
      <c r="AO66" s="3" t="n">
        <f aca="false">E66*Z66</f>
        <v>7083.05</v>
      </c>
      <c r="AP66" s="3" t="n">
        <f aca="false">E66*T66</f>
        <v>0</v>
      </c>
      <c r="AQ66" s="231" t="n">
        <f aca="false">E66*U66</f>
        <v>0</v>
      </c>
      <c r="AR66" s="3" t="n">
        <f aca="false">AC66-AJ66</f>
        <v>-4557.5</v>
      </c>
      <c r="AS66" s="3" t="n">
        <f aca="false">AD66-AK66-AL66</f>
        <v>-1875</v>
      </c>
      <c r="AT66" s="3" t="n">
        <f aca="false">AE66-AM66</f>
        <v>2790</v>
      </c>
      <c r="AU66" s="3" t="n">
        <f aca="false">AF66-AN66</f>
        <v>8.28</v>
      </c>
      <c r="AV66" s="3" t="n">
        <f aca="false">AG66-AO66</f>
        <v>0</v>
      </c>
      <c r="AW66" s="3" t="n">
        <f aca="false">AH66-AP66</f>
        <v>0</v>
      </c>
      <c r="AX66" s="238" t="n">
        <f aca="false">AI66-AQ66</f>
        <v>0</v>
      </c>
      <c r="AY66" s="5" t="n">
        <f aca="false">E66*$C$23</f>
        <v>114500</v>
      </c>
      <c r="AZ66" s="5" t="n">
        <f aca="false">E66*$C$24</f>
        <v>46500</v>
      </c>
      <c r="BA66" s="230" t="n">
        <f aca="false">E66*$C$25</f>
        <v>103.5</v>
      </c>
      <c r="BB66" s="24" t="n">
        <f aca="false">$K$46*AR66</f>
        <v>-4557.5</v>
      </c>
      <c r="BC66" s="35" t="n">
        <f aca="false">$L$46*AR66</f>
        <v>-0</v>
      </c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customFormat="false" ht="12.75" hidden="false" customHeight="true" outlineLevel="0" collapsed="false">
      <c r="A67" s="27"/>
      <c r="B67" s="56"/>
      <c r="C67" s="25" t="str">
        <f aca="false">$C$47</f>
        <v>Program 6</v>
      </c>
      <c r="D67" s="192" t="n">
        <f aca="false">D58</f>
        <v>0.01</v>
      </c>
      <c r="E67" s="230" t="n">
        <f aca="false">D67*$D$30</f>
        <v>150</v>
      </c>
      <c r="F67" s="3" t="n">
        <v>25</v>
      </c>
      <c r="G67" s="3" t="n">
        <f aca="false">$K$46*F67</f>
        <v>25</v>
      </c>
      <c r="H67" s="3" t="n">
        <f aca="false">IF($C$23&gt;$E$46,($C$23-$E$46)*$G$46,0)</f>
        <v>0</v>
      </c>
      <c r="I67" s="3" t="n">
        <f aca="false">IF($C$24&gt;$F$46,($C$24-$F$46)*$H$46,0)</f>
        <v>9.3</v>
      </c>
      <c r="J67" s="3" t="n">
        <f aca="false">$C$25*$I$46</f>
        <v>0.0207</v>
      </c>
      <c r="K67" s="3" t="n">
        <f aca="false">IF($E$46&gt;$C$23,($E$46-$C$23)*$C$8,0)</f>
        <v>14.1661</v>
      </c>
      <c r="L67" s="3" t="n">
        <f aca="false">IF($F$46&gt;$C$24,($F$46-$C$24)*$C$9,0)</f>
        <v>0</v>
      </c>
      <c r="M67" s="231" t="n">
        <v>0</v>
      </c>
      <c r="N67" s="232" t="n">
        <f aca="false">$C$2+($E$46*$C$8)+($F$46*$C$9)</f>
        <v>34.115</v>
      </c>
      <c r="O67" s="3" t="n">
        <f aca="false">$C$11*G67+$C$11*P67</f>
        <v>3.75</v>
      </c>
      <c r="P67" s="3" t="n">
        <f aca="false">IF($C$23&gt;$E$46,($C$23-$E$46)*$C$8,0)</f>
        <v>0</v>
      </c>
      <c r="Q67" s="3" t="n">
        <f aca="false">IF($C$24&gt;$F$46,($C$24-$F$46)*$C$9,0)</f>
        <v>3.72</v>
      </c>
      <c r="R67" s="3" t="n">
        <f aca="false">$C$25*($C$10*10000/1000000)</f>
        <v>0.00414</v>
      </c>
      <c r="S67" s="3" t="n">
        <v>0</v>
      </c>
      <c r="T67" s="3" t="n">
        <v>0</v>
      </c>
      <c r="U67" s="3" t="n">
        <v>0</v>
      </c>
      <c r="V67" s="235" t="n">
        <f aca="false">F67-N67</f>
        <v>-9.115</v>
      </c>
      <c r="W67" s="3" t="n">
        <f aca="false">H67-P67-O67</f>
        <v>-3.75</v>
      </c>
      <c r="X67" s="3" t="n">
        <f aca="false">I67-Q67</f>
        <v>5.58</v>
      </c>
      <c r="Y67" s="3" t="n">
        <f aca="false">J67-R67</f>
        <v>0.01656</v>
      </c>
      <c r="Z67" s="3" t="n">
        <f aca="false">K67-S67</f>
        <v>14.1661</v>
      </c>
      <c r="AA67" s="3" t="n">
        <f aca="false">L67-T67</f>
        <v>0</v>
      </c>
      <c r="AB67" s="3" t="n">
        <f aca="false">M67-U67</f>
        <v>0</v>
      </c>
      <c r="AC67" s="235" t="n">
        <f aca="false">$E67*F67</f>
        <v>3750</v>
      </c>
      <c r="AD67" s="3" t="n">
        <f aca="false">E67*H67</f>
        <v>0</v>
      </c>
      <c r="AE67" s="3" t="n">
        <f aca="false">E67*I67</f>
        <v>1395</v>
      </c>
      <c r="AF67" s="3" t="n">
        <f aca="false">E67*J67</f>
        <v>3.105</v>
      </c>
      <c r="AG67" s="3" t="n">
        <f aca="false">E67*K67</f>
        <v>2124.915</v>
      </c>
      <c r="AH67" s="3" t="n">
        <f aca="false">E67*L67</f>
        <v>0</v>
      </c>
      <c r="AI67" s="3" t="n">
        <f aca="false">E67*M67</f>
        <v>0</v>
      </c>
      <c r="AJ67" s="232" t="n">
        <f aca="false">$E67*N67</f>
        <v>5117.25</v>
      </c>
      <c r="AK67" s="3" t="n">
        <f aca="false">E67*O67</f>
        <v>562.5</v>
      </c>
      <c r="AL67" s="3" t="n">
        <f aca="false">E67*P67</f>
        <v>0</v>
      </c>
      <c r="AM67" s="3" t="n">
        <f aca="false">E67*Q67</f>
        <v>558</v>
      </c>
      <c r="AN67" s="3" t="n">
        <f aca="false">E67*R67</f>
        <v>0.621</v>
      </c>
      <c r="AO67" s="3" t="n">
        <f aca="false">E67*Z67</f>
        <v>2124.915</v>
      </c>
      <c r="AP67" s="3" t="n">
        <f aca="false">E67*T67</f>
        <v>0</v>
      </c>
      <c r="AQ67" s="231" t="n">
        <f aca="false">E67*U67</f>
        <v>0</v>
      </c>
      <c r="AR67" s="3" t="n">
        <f aca="false">AC67-AJ67</f>
        <v>-1367.25</v>
      </c>
      <c r="AS67" s="3" t="n">
        <f aca="false">AD67-AK67-AL67</f>
        <v>-562.5</v>
      </c>
      <c r="AT67" s="3" t="n">
        <f aca="false">AE67-AM67</f>
        <v>837</v>
      </c>
      <c r="AU67" s="3" t="n">
        <f aca="false">AF67-AN67</f>
        <v>2.484</v>
      </c>
      <c r="AV67" s="3" t="n">
        <f aca="false">AG67-AO67</f>
        <v>0</v>
      </c>
      <c r="AW67" s="3" t="n">
        <f aca="false">AH67-AP67</f>
        <v>0</v>
      </c>
      <c r="AX67" s="238" t="n">
        <f aca="false">AI67-AQ67</f>
        <v>0</v>
      </c>
      <c r="AY67" s="5" t="n">
        <f aca="false">E67*$C$23</f>
        <v>34350</v>
      </c>
      <c r="AZ67" s="5" t="n">
        <f aca="false">E67*$C$24</f>
        <v>13950</v>
      </c>
      <c r="BA67" s="230" t="n">
        <f aca="false">E67*$C$25</f>
        <v>31.05</v>
      </c>
      <c r="BB67" s="24" t="n">
        <f aca="false">$K$46*AR67</f>
        <v>-1367.25</v>
      </c>
      <c r="BC67" s="35" t="n">
        <f aca="false">$L$46*AR67</f>
        <v>-0</v>
      </c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customFormat="false" ht="12.75" hidden="false" customHeight="true" outlineLevel="0" collapsed="false">
      <c r="A68" s="1"/>
      <c r="B68" s="30"/>
      <c r="C68" s="32" t="n">
        <f aca="false">$C$48</f>
        <v>0</v>
      </c>
      <c r="D68" s="282" t="n">
        <v>0</v>
      </c>
      <c r="E68" s="283" t="n">
        <f aca="false">D68*$D$31</f>
        <v>0</v>
      </c>
      <c r="F68" s="284" t="n">
        <v>35</v>
      </c>
      <c r="G68" s="3" t="n">
        <f aca="false">$K$48*F68</f>
        <v>35</v>
      </c>
      <c r="H68" s="244" t="n">
        <f aca="false">IF($C$23&gt;$E$48,($C$23-$E$48)*$G$48,0)</f>
        <v>0</v>
      </c>
      <c r="I68" s="244" t="n">
        <f aca="false">IF($C$24&gt;$F$48,($C$24-$F$48)*$H$48,0)</f>
        <v>0</v>
      </c>
      <c r="J68" s="244" t="n">
        <f aca="false">$C$25*$I$48</f>
        <v>0</v>
      </c>
      <c r="K68" s="244" t="n">
        <f aca="false">IF($E$48&gt;$C$23,($E$48-$C$23)*$C$8,0)</f>
        <v>0</v>
      </c>
      <c r="L68" s="244" t="n">
        <f aca="false">IF($F$48&gt;$C$24,($F$48-$C$24)*$C$9,0)</f>
        <v>0</v>
      </c>
      <c r="M68" s="246" t="n">
        <v>0</v>
      </c>
      <c r="N68" s="232" t="n">
        <f aca="false">$C$2+($E$48*$C$8)+($F$48*$C$9)</f>
        <v>5.27</v>
      </c>
      <c r="O68" s="3" t="n">
        <f aca="false">$C$11*G68+$C$11*P68</f>
        <v>7.451835</v>
      </c>
      <c r="P68" s="244" t="n">
        <f aca="false">IF($C$23&gt;$E$48,($C$23-$E$48)*$C$8,0)</f>
        <v>14.6789</v>
      </c>
      <c r="Q68" s="244" t="n">
        <f aca="false">IF($C$24&gt;$F$48,($C$24-$F$48)*$C$9,0)</f>
        <v>3.72</v>
      </c>
      <c r="R68" s="244" t="n">
        <f aca="false">$C$25*($C$10*10000/1000000)</f>
        <v>0.00414</v>
      </c>
      <c r="S68" s="244" t="n">
        <v>0</v>
      </c>
      <c r="T68" s="244" t="n">
        <v>0</v>
      </c>
      <c r="U68" s="244" t="n">
        <v>0</v>
      </c>
      <c r="V68" s="284" t="n">
        <f aca="false">F68-N68</f>
        <v>29.73</v>
      </c>
      <c r="W68" s="244" t="n">
        <f aca="false">H68-P68-O68</f>
        <v>-22.130735</v>
      </c>
      <c r="X68" s="244" t="n">
        <f aca="false">I68-Q68</f>
        <v>-3.72</v>
      </c>
      <c r="Y68" s="244" t="n">
        <f aca="false">J68-R68</f>
        <v>-0.00414</v>
      </c>
      <c r="Z68" s="244" t="n">
        <f aca="false">K68-S68</f>
        <v>0</v>
      </c>
      <c r="AA68" s="244" t="n">
        <f aca="false">L68-T68</f>
        <v>0</v>
      </c>
      <c r="AB68" s="244" t="n">
        <f aca="false">M68-U68</f>
        <v>0</v>
      </c>
      <c r="AC68" s="284" t="n">
        <f aca="false">$E68*F68</f>
        <v>0</v>
      </c>
      <c r="AD68" s="244" t="n">
        <f aca="false">E68*H68</f>
        <v>0</v>
      </c>
      <c r="AE68" s="244" t="n">
        <f aca="false">E68*I68</f>
        <v>0</v>
      </c>
      <c r="AF68" s="244" t="n">
        <f aca="false">E68*J68</f>
        <v>0</v>
      </c>
      <c r="AG68" s="244" t="n">
        <f aca="false">E68*K68</f>
        <v>0</v>
      </c>
      <c r="AH68" s="244" t="n">
        <f aca="false">E68*L68</f>
        <v>0</v>
      </c>
      <c r="AI68" s="246" t="n">
        <f aca="false">E68*M68</f>
        <v>0</v>
      </c>
      <c r="AJ68" s="245" t="n">
        <f aca="false">$E68*N68</f>
        <v>0</v>
      </c>
      <c r="AK68" s="244" t="n">
        <f aca="false">E68*O68</f>
        <v>0</v>
      </c>
      <c r="AL68" s="244" t="n">
        <f aca="false">E68*P68</f>
        <v>0</v>
      </c>
      <c r="AM68" s="244" t="n">
        <f aca="false">E68*Q68</f>
        <v>0</v>
      </c>
      <c r="AN68" s="244" t="n">
        <f aca="false">E68*R68</f>
        <v>0</v>
      </c>
      <c r="AO68" s="244" t="n">
        <f aca="false">E68*Z68</f>
        <v>0</v>
      </c>
      <c r="AP68" s="244" t="n">
        <f aca="false">E68*T68</f>
        <v>0</v>
      </c>
      <c r="AQ68" s="246" t="n">
        <f aca="false">E68*U68</f>
        <v>0</v>
      </c>
      <c r="AR68" s="3" t="n">
        <f aca="false">AC68-AJ68</f>
        <v>0</v>
      </c>
      <c r="AS68" s="3" t="n">
        <f aca="false">AD68-AK68-AL68</f>
        <v>0</v>
      </c>
      <c r="AT68" s="3" t="n">
        <f aca="false">AE68-AM68</f>
        <v>0</v>
      </c>
      <c r="AU68" s="3" t="n">
        <f aca="false">AF68-AN68</f>
        <v>0</v>
      </c>
      <c r="AV68" s="3" t="n">
        <f aca="false">AG68-AO68</f>
        <v>0</v>
      </c>
      <c r="AW68" s="3" t="n">
        <f aca="false">AH68-AP68</f>
        <v>0</v>
      </c>
      <c r="AX68" s="238" t="n">
        <f aca="false">AI68-AQ68</f>
        <v>0</v>
      </c>
      <c r="AY68" s="72" t="n">
        <f aca="false">E68*$C$23</f>
        <v>0</v>
      </c>
      <c r="AZ68" s="72" t="n">
        <f aca="false">E68*$C$24</f>
        <v>0</v>
      </c>
      <c r="BA68" s="283" t="n">
        <f aca="false">E68*$C$25</f>
        <v>0</v>
      </c>
      <c r="BB68" s="24" t="n">
        <f aca="false">$K$48*AR68</f>
        <v>0</v>
      </c>
      <c r="BC68" s="35" t="n">
        <f aca="false">$L$48*AR68</f>
        <v>0</v>
      </c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customFormat="false" ht="12.75" hidden="false" customHeight="true" outlineLevel="0" collapsed="false">
      <c r="A69" s="1"/>
      <c r="B69" s="247"/>
      <c r="C69" s="248" t="s">
        <v>171</v>
      </c>
      <c r="D69" s="249"/>
      <c r="E69" s="250"/>
      <c r="F69" s="251" t="n">
        <f aca="false">(($E62*F62)+($E63*F63)+($E64*F64)+($E65*F65)+($E66*F66)+($E68*F68))/($E70)</f>
        <v>3.75124378109453</v>
      </c>
      <c r="G69" s="251" t="n">
        <f aca="false">(($E62*G62)+($E63*G63)+($E64*G64)+($E65*G65)+($E66*G66)+($E68*G68))/($E70)</f>
        <v>3.75124378109453</v>
      </c>
      <c r="H69" s="251" t="n">
        <f aca="false">(($E62*H62)+($E63*H63)+($E64*H64)+($E65*H65)+($E66*H66)+($E68*H68))/($E70)</f>
        <v>27.7750248756219</v>
      </c>
      <c r="I69" s="251" t="n">
        <f aca="false">(($E62*I62)+($E63*I63)+($E64*I64)+($E65*I65)+($E66*I66)+($E68*I68))/($E70)</f>
        <v>10.2716417910448</v>
      </c>
      <c r="J69" s="251" t="n">
        <f aca="false">(($E62*J62)+($E63*J63)+($E64*J64)+($E65*J65)+($E66*J66)+($E68*J68))/($E70)</f>
        <v>0.0203910447761194</v>
      </c>
      <c r="K69" s="251" t="n">
        <f aca="false">(($E62*K62)+($E63*K63)+($E64*K64)+($E65*K65)+($E66*K66)+($E68*K68))/($E70)</f>
        <v>0.704781094527363</v>
      </c>
      <c r="L69" s="251" t="n">
        <f aca="false">(($E62*L62)+($E63*L63)+($E64*L64)+($E65*L65)+($E66*L66)+($E68*L68))/($E70)</f>
        <v>0</v>
      </c>
      <c r="M69" s="251" t="n">
        <f aca="false">(($E62*M62)+($E63*M63)+($E64*M64)+($E65*M65)+($E66*M66)+($E68*M68))/($E70)</f>
        <v>2.1452736318408</v>
      </c>
      <c r="N69" s="252" t="n">
        <f aca="false">(($E62*N62)+($E63*N63)+($E64*N64)+($E65*N65)+($E66*N66)+($E68*N68))/($E70)</f>
        <v>8.71524875621891</v>
      </c>
      <c r="O69" s="251" t="n">
        <f aca="false">(($E62*O62)+($E63*O63)+($E64*O64)+($E65*O65)+($E66*O66)+($E68*O68))/($E70)</f>
        <v>2.30878970149254</v>
      </c>
      <c r="P69" s="251" t="n">
        <f aca="false">(($E62*P62)+($E63*P63)+($E64*P64)+($E65*P65)+($E66*P66)+($E68*P68))/($E70)</f>
        <v>11.6406875621891</v>
      </c>
      <c r="Q69" s="251" t="n">
        <f aca="false">(($E62*Q62)+($E63*Q63)+($E64*Q64)+($E65*Q65)+($E66*Q66)+($E68*Q68))/($E70)</f>
        <v>3.6644776119403</v>
      </c>
      <c r="R69" s="251" t="n">
        <f aca="false">(($E62*R62)+($E63*R63)+($E64*R64)+($E65*R65)+($E66*R66)+($E68*R68))/($E70)</f>
        <v>0.00407820895522388</v>
      </c>
      <c r="S69" s="251" t="n">
        <f aca="false">(($E62*S62)+($E63*S63)+($E64*S64)+($E65*S65)+($E66*S66)+($E68*S68))/($E70)</f>
        <v>0</v>
      </c>
      <c r="T69" s="251" t="n">
        <f aca="false">(($E62*T62)+($E63*T63)+($E64*T64)+($E65*T65)+($E66*T66)+($E68*T68))/($E70)</f>
        <v>0</v>
      </c>
      <c r="U69" s="251" t="n">
        <f aca="false">(($E62*U62)+($E63*U63)+($E64*U64)+($E65*U65)+($E66*U66)+($E68*U68))/($E70)</f>
        <v>0</v>
      </c>
      <c r="V69" s="253" t="n">
        <f aca="false">(($E62*V62)+($E63*V63)+($E64*V64)+($E65*V65)+($E66*V66)+($E68*V68))/($E70)</f>
        <v>-4.96400497512438</v>
      </c>
      <c r="W69" s="251" t="n">
        <f aca="false">(($E62*W62)+($E63*W63)+($E64*W64)+($E65*W65)+($E66*W66)+($E68*W68))/($E70)</f>
        <v>13.8255476119403</v>
      </c>
      <c r="X69" s="251" t="n">
        <f aca="false">(($E62*X62)+($E63*X63)+($E64*X64)+($E65*X65)+($E66*X66)+($E68*X68))/($E70)</f>
        <v>6.60716417910448</v>
      </c>
      <c r="Y69" s="251" t="n">
        <f aca="false">(($E62*Y62)+($E63*Y63)+($E64*Y64)+($E65*Y65)+($E66*Y66)+($E68*Y68))/($E70)</f>
        <v>0.0163128358208955</v>
      </c>
      <c r="Z69" s="251" t="n">
        <f aca="false">(($E62*Z62)+($E63*Z63)+($E64*Z64)+($E65*Z65)+($E66*Z66)+($E68*Z68))/($E70)</f>
        <v>0.704781094527363</v>
      </c>
      <c r="AA69" s="251" t="n">
        <f aca="false">(($E62*AA62)+($E63*AA63)+($E64*AA64)+($E65*AA65)+($E66*AA66)+($E68*AA68))/($E70)</f>
        <v>0</v>
      </c>
      <c r="AB69" s="251" t="n">
        <f aca="false">(($E62*AB62)+($E63*AB63)+($E64*AB64)+($E65*AB65)+($E66*AB66)+($E68*AB68))/($E70)</f>
        <v>2.1452736318408</v>
      </c>
      <c r="AC69" s="253" t="n">
        <f aca="false">SUM(AC62:AC68)/$E70</f>
        <v>4.12437810945274</v>
      </c>
      <c r="AD69" s="251" t="n">
        <f aca="false">SUM(AD62:AD68)/$E70</f>
        <v>27.7750248756219</v>
      </c>
      <c r="AE69" s="251" t="n">
        <f aca="false">SUM(AE62:AE68)/$E70</f>
        <v>10.410447761194</v>
      </c>
      <c r="AF69" s="251" t="n">
        <f aca="false">SUM(AF62:AF68)/$E70</f>
        <v>0.0207</v>
      </c>
      <c r="AG69" s="251" t="n">
        <f aca="false">SUM(AG62:AG68)/$E70</f>
        <v>0.916215422885572</v>
      </c>
      <c r="AH69" s="251" t="n">
        <f aca="false">SUM(AH62:AH68)/$E70</f>
        <v>0</v>
      </c>
      <c r="AI69" s="251" t="n">
        <f aca="false">SUM(AI62:AI68)/$E70</f>
        <v>2.1452736318408</v>
      </c>
      <c r="AJ69" s="252" t="n">
        <f aca="false">SUM(AJ62:AJ68)/$E70</f>
        <v>9.22442786069652</v>
      </c>
      <c r="AK69" s="251" t="n">
        <f aca="false">SUM(AK62:AK68)/$E70</f>
        <v>2.36475985074627</v>
      </c>
      <c r="AL69" s="251" t="n">
        <f aca="false">SUM(AL62:AL68)/$E70</f>
        <v>11.6406875621891</v>
      </c>
      <c r="AM69" s="251" t="n">
        <f aca="false">SUM(AM62:AM68)/$E70</f>
        <v>3.72</v>
      </c>
      <c r="AN69" s="251" t="n">
        <f aca="false">SUM(AN62:AN68)/$E70</f>
        <v>0.00414</v>
      </c>
      <c r="AO69" s="251" t="n">
        <f aca="false">SUM(AO62:AO68)/$E70</f>
        <v>0.916215422885572</v>
      </c>
      <c r="AP69" s="251" t="n">
        <f aca="false">SUM(AP62:AP68)/$E70</f>
        <v>0</v>
      </c>
      <c r="AQ69" s="251" t="n">
        <f aca="false">SUM(AQ62:AQ68)/$E70</f>
        <v>0</v>
      </c>
      <c r="AR69" s="252" t="n">
        <f aca="false">SUM(AR62:AR68)/$E70</f>
        <v>-5.10004975124378</v>
      </c>
      <c r="AS69" s="251" t="n">
        <f aca="false">SUM(AS62:AS68)/$E70</f>
        <v>13.7695774626866</v>
      </c>
      <c r="AT69" s="251" t="n">
        <f aca="false">SUM(AT62:AT68)/$E70</f>
        <v>6.69044776119403</v>
      </c>
      <c r="AU69" s="251" t="n">
        <f aca="false">SUM(AU62:AU68)/$E70</f>
        <v>0.01656</v>
      </c>
      <c r="AV69" s="251" t="n">
        <f aca="false">SUM(AV62:AV68)/$E70</f>
        <v>0</v>
      </c>
      <c r="AW69" s="251" t="n">
        <f aca="false">SUM(AW62:AW68)/$E70</f>
        <v>0</v>
      </c>
      <c r="AX69" s="251" t="n">
        <f aca="false">SUM(AX62:AX68)/$E70</f>
        <v>2.1452736318408</v>
      </c>
      <c r="AY69" s="254" t="n">
        <f aca="false">SUM(AY62:AY68)/$E70</f>
        <v>229</v>
      </c>
      <c r="AZ69" s="255" t="n">
        <f aca="false">SUM(AZ62:AZ68)/$E70</f>
        <v>93</v>
      </c>
      <c r="BA69" s="256" t="n">
        <f aca="false">SUM(BA62:BA68)/$E70</f>
        <v>0.207</v>
      </c>
      <c r="BB69" s="253" t="n">
        <f aca="false">SUM(BB62:BB68)/$E70</f>
        <v>-1.58671641791045</v>
      </c>
      <c r="BC69" s="257" t="n">
        <f aca="false">SUM(BC62:BC68)/$E70</f>
        <v>0</v>
      </c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 customFormat="false" ht="12.75" hidden="false" customHeight="true" outlineLevel="0" collapsed="false">
      <c r="A70" s="1"/>
      <c r="B70" s="258"/>
      <c r="C70" s="285" t="s">
        <v>73</v>
      </c>
      <c r="D70" s="260" t="n">
        <f aca="false">SUM(D62:D68)</f>
        <v>1</v>
      </c>
      <c r="E70" s="261" t="n">
        <f aca="false">SUM(E62:E68)</f>
        <v>10050</v>
      </c>
      <c r="F70" s="262"/>
      <c r="G70" s="262"/>
      <c r="H70" s="262"/>
      <c r="I70" s="262"/>
      <c r="J70" s="262"/>
      <c r="K70" s="262"/>
      <c r="L70" s="262"/>
      <c r="M70" s="263"/>
      <c r="N70" s="264"/>
      <c r="O70" s="262"/>
      <c r="P70" s="262"/>
      <c r="Q70" s="262"/>
      <c r="R70" s="262"/>
      <c r="S70" s="262"/>
      <c r="T70" s="262"/>
      <c r="U70" s="262"/>
      <c r="V70" s="265"/>
      <c r="W70" s="262"/>
      <c r="X70" s="262"/>
      <c r="Y70" s="262"/>
      <c r="Z70" s="262"/>
      <c r="AA70" s="262"/>
      <c r="AB70" s="262"/>
      <c r="AC70" s="265" t="n">
        <f aca="false">SUM(AC62:AC68)</f>
        <v>41450</v>
      </c>
      <c r="AD70" s="262" t="n">
        <f aca="false">SUM(AD62:AD68)</f>
        <v>279139</v>
      </c>
      <c r="AE70" s="262" t="n">
        <f aca="false">SUM(AE62:AE68)</f>
        <v>104625</v>
      </c>
      <c r="AF70" s="262" t="n">
        <f aca="false">SUM(AF62:AF68)</f>
        <v>208.035</v>
      </c>
      <c r="AG70" s="262" t="n">
        <f aca="false">SUM(AG62:AG68)</f>
        <v>9207.965</v>
      </c>
      <c r="AH70" s="262" t="n">
        <f aca="false">SUM(AH62:AH68)</f>
        <v>0</v>
      </c>
      <c r="AI70" s="262" t="n">
        <f aca="false">SUM(AI62:AI68)</f>
        <v>21560</v>
      </c>
      <c r="AJ70" s="264" t="n">
        <f aca="false">SUM(AJ62:AJ68)</f>
        <v>92705.5</v>
      </c>
      <c r="AK70" s="262" t="n">
        <f aca="false">SUM(AK62:AK68)</f>
        <v>23765.8365</v>
      </c>
      <c r="AL70" s="262" t="n">
        <f aca="false">SUM(AL62:AL68)</f>
        <v>116988.91</v>
      </c>
      <c r="AM70" s="262" t="n">
        <f aca="false">SUM(AM62:AM68)</f>
        <v>37386</v>
      </c>
      <c r="AN70" s="262" t="n">
        <f aca="false">SUM(AN62:AN68)</f>
        <v>41.607</v>
      </c>
      <c r="AO70" s="262" t="n">
        <f aca="false">SUM(AO62:AO68)</f>
        <v>9207.965</v>
      </c>
      <c r="AP70" s="262" t="n">
        <f aca="false">SUM(AP62:AP68)</f>
        <v>0</v>
      </c>
      <c r="AQ70" s="263" t="n">
        <f aca="false">SUM(AQ62:AQ68)</f>
        <v>0</v>
      </c>
      <c r="AR70" s="264" t="n">
        <f aca="false">SUM(AR62:AR68)</f>
        <v>-51255.5</v>
      </c>
      <c r="AS70" s="262" t="n">
        <f aca="false">SUM(AS62:AS68)</f>
        <v>138384.2535</v>
      </c>
      <c r="AT70" s="262" t="n">
        <f aca="false">SUM(AT62:AT68)</f>
        <v>67239</v>
      </c>
      <c r="AU70" s="262" t="n">
        <f aca="false">SUM(AU62:AU68)</f>
        <v>166.428</v>
      </c>
      <c r="AV70" s="262" t="n">
        <f aca="false">SUM(AV62:AV68)</f>
        <v>0</v>
      </c>
      <c r="AW70" s="262" t="n">
        <f aca="false">SUM(AW62:AW68)</f>
        <v>0</v>
      </c>
      <c r="AX70" s="270" t="n">
        <f aca="false">SUM(AX62:AX68)</f>
        <v>21560</v>
      </c>
      <c r="AY70" s="271" t="n">
        <f aca="false">SUM(AY62:AY68)</f>
        <v>2301450</v>
      </c>
      <c r="AZ70" s="272" t="n">
        <f aca="false">SUM(AZ62:AZ68)</f>
        <v>934650</v>
      </c>
      <c r="BA70" s="261" t="n">
        <f aca="false">SUM(BA62:BA68)</f>
        <v>2080.35</v>
      </c>
      <c r="BB70" s="273" t="n">
        <f aca="false">SUM(BB62:BB68)</f>
        <v>-15946.5</v>
      </c>
      <c r="BC70" s="274" t="n">
        <f aca="false">SUM(BC62:BC68)</f>
        <v>0</v>
      </c>
      <c r="BD70" s="2"/>
      <c r="BE70" s="2"/>
      <c r="BF70" s="2"/>
      <c r="BG70" s="2"/>
      <c r="BH70" s="2"/>
      <c r="BI70" s="2"/>
      <c r="BJ70" s="2"/>
      <c r="BK70" s="2"/>
      <c r="BL70" s="2"/>
      <c r="BM70" s="2"/>
    </row>
    <row r="71" customFormat="false" ht="12.75" hidden="false" customHeight="true" outlineLevel="0" collapsed="false">
      <c r="A71" s="1"/>
      <c r="B71" s="138" t="str">
        <f aca="false">B32</f>
        <v>Brand 3</v>
      </c>
      <c r="C71" s="275" t="str">
        <f aca="false">$C$42</f>
        <v>Program 1</v>
      </c>
      <c r="D71" s="286" t="n">
        <f aca="false">D62</f>
        <v>0.27</v>
      </c>
      <c r="E71" s="230" t="n">
        <f aca="false">D71*$D$32</f>
        <v>1350</v>
      </c>
      <c r="F71" s="278" t="n">
        <v>0</v>
      </c>
      <c r="G71" s="3" t="n">
        <f aca="false">$K$42*F71</f>
        <v>0</v>
      </c>
      <c r="H71" s="3" t="n">
        <f aca="false">IF($C$23&gt;$E$42,($C$23-$E$42)*$G$42,0)</f>
        <v>29.77</v>
      </c>
      <c r="I71" s="3" t="n">
        <f aca="false">IF($C$24&gt;$F$42,($C$24-$F$42)*$H$42,0)</f>
        <v>9.3</v>
      </c>
      <c r="J71" s="3" t="n">
        <f aca="false">$C$25*$I$42</f>
        <v>0.0207</v>
      </c>
      <c r="K71" s="3" t="n">
        <f aca="false">IF($E$42&gt;$C$23,($E$42-$C$23)*$C$8,0)</f>
        <v>0</v>
      </c>
      <c r="L71" s="3" t="n">
        <f aca="false">IF($F$42&gt;$C$24,($F$42-$C$24)*$C$9,0)</f>
        <v>0</v>
      </c>
      <c r="M71" s="231" t="n">
        <v>0</v>
      </c>
      <c r="N71" s="232" t="n">
        <f aca="false">$C$2+($E$42*$C$8)+($F$42*$C$9)</f>
        <v>5.27</v>
      </c>
      <c r="O71" s="3" t="n">
        <f aca="false">$C$11*G71+$C$11*P71</f>
        <v>2.201835</v>
      </c>
      <c r="P71" s="3" t="n">
        <f aca="false">IF($C$23&gt;$E$42,($C$23-$E$42)*$C$8,0)</f>
        <v>14.6789</v>
      </c>
      <c r="Q71" s="3" t="n">
        <f aca="false">IF($C$24&gt;$F$42,($C$24-$F$42)*$C$9,0)</f>
        <v>3.72</v>
      </c>
      <c r="R71" s="3" t="n">
        <f aca="false">$C$25*($C$10*10000/1000000)</f>
        <v>0.00414</v>
      </c>
      <c r="S71" s="277" t="n">
        <v>0</v>
      </c>
      <c r="T71" s="277" t="n">
        <v>0</v>
      </c>
      <c r="U71" s="277" t="n">
        <v>0</v>
      </c>
      <c r="V71" s="278" t="n">
        <f aca="false">F71-N71</f>
        <v>-5.27</v>
      </c>
      <c r="W71" s="277" t="n">
        <f aca="false">H71-P71-O71</f>
        <v>12.889265</v>
      </c>
      <c r="X71" s="277" t="n">
        <f aca="false">I71-Q71</f>
        <v>5.58</v>
      </c>
      <c r="Y71" s="277" t="n">
        <f aca="false">J71-R71</f>
        <v>0.01656</v>
      </c>
      <c r="Z71" s="277" t="n">
        <f aca="false">K71-S71</f>
        <v>0</v>
      </c>
      <c r="AA71" s="277" t="n">
        <f aca="false">L71-T71</f>
        <v>0</v>
      </c>
      <c r="AB71" s="277" t="n">
        <f aca="false">M71-U71</f>
        <v>0</v>
      </c>
      <c r="AC71" s="278" t="n">
        <f aca="false">$E71*F71</f>
        <v>0</v>
      </c>
      <c r="AD71" s="277" t="n">
        <f aca="false">E71*H71</f>
        <v>40189.5</v>
      </c>
      <c r="AE71" s="277" t="n">
        <f aca="false">E71*I71</f>
        <v>12555</v>
      </c>
      <c r="AF71" s="277" t="n">
        <f aca="false">E71*J71</f>
        <v>27.945</v>
      </c>
      <c r="AG71" s="277" t="n">
        <f aca="false">E71*K71</f>
        <v>0</v>
      </c>
      <c r="AH71" s="277" t="n">
        <f aca="false">E71*L71</f>
        <v>0</v>
      </c>
      <c r="AI71" s="279" t="n">
        <f aca="false">E71*M71</f>
        <v>0</v>
      </c>
      <c r="AJ71" s="280" t="n">
        <f aca="false">$E71*N71</f>
        <v>7114.5</v>
      </c>
      <c r="AK71" s="277" t="n">
        <f aca="false">E71*O71</f>
        <v>2972.47725</v>
      </c>
      <c r="AL71" s="277" t="n">
        <f aca="false">E71*P71</f>
        <v>19816.515</v>
      </c>
      <c r="AM71" s="277" t="n">
        <f aca="false">E71*Q71</f>
        <v>5022</v>
      </c>
      <c r="AN71" s="277" t="n">
        <f aca="false">E71*R71</f>
        <v>5.589</v>
      </c>
      <c r="AO71" s="277" t="n">
        <f aca="false">E71*Z71</f>
        <v>0</v>
      </c>
      <c r="AP71" s="277" t="n">
        <f aca="false">E71*T71</f>
        <v>0</v>
      </c>
      <c r="AQ71" s="279" t="n">
        <f aca="false">E71*U71</f>
        <v>0</v>
      </c>
      <c r="AR71" s="3" t="n">
        <f aca="false">AC71-AJ71</f>
        <v>-7114.5</v>
      </c>
      <c r="AS71" s="3" t="n">
        <f aca="false">AD71-AK71-AL71</f>
        <v>17400.50775</v>
      </c>
      <c r="AT71" s="3" t="n">
        <f aca="false">AE71-AM71</f>
        <v>7533</v>
      </c>
      <c r="AU71" s="3" t="n">
        <f aca="false">AF71-AN71</f>
        <v>22.356</v>
      </c>
      <c r="AV71" s="3" t="n">
        <f aca="false">AG71-AO71</f>
        <v>0</v>
      </c>
      <c r="AW71" s="3" t="n">
        <f aca="false">AH71-AP71</f>
        <v>0</v>
      </c>
      <c r="AX71" s="238" t="n">
        <f aca="false">AI71-AQ71</f>
        <v>0</v>
      </c>
      <c r="AY71" s="5" t="n">
        <f aca="false">E71*$C$23</f>
        <v>309150</v>
      </c>
      <c r="AZ71" s="5" t="n">
        <f aca="false">E71*$C$24</f>
        <v>125550</v>
      </c>
      <c r="BA71" s="230" t="n">
        <f aca="false">E71*$C$25</f>
        <v>279.45</v>
      </c>
      <c r="BB71" s="24" t="n">
        <f aca="false">$K$42*AR71</f>
        <v>-0</v>
      </c>
      <c r="BC71" s="35" t="n">
        <f aca="false">$L$42*AR71</f>
        <v>-0</v>
      </c>
      <c r="BD71" s="2"/>
      <c r="BE71" s="2"/>
      <c r="BF71" s="2"/>
      <c r="BG71" s="2"/>
      <c r="BH71" s="2"/>
      <c r="BI71" s="2"/>
      <c r="BJ71" s="2"/>
      <c r="BK71" s="2"/>
      <c r="BL71" s="2"/>
      <c r="BM71" s="2"/>
    </row>
    <row r="72" customFormat="false" ht="12.75" hidden="false" customHeight="true" outlineLevel="0" collapsed="false">
      <c r="A72" s="1"/>
      <c r="B72" s="56"/>
      <c r="C72" s="25" t="str">
        <f aca="false">$C$43</f>
        <v>Program 2</v>
      </c>
      <c r="D72" s="281" t="n">
        <f aca="false">D63</f>
        <v>0.4</v>
      </c>
      <c r="E72" s="230" t="n">
        <f aca="false">D72*$D$32</f>
        <v>2000</v>
      </c>
      <c r="F72" s="235" t="n">
        <v>0</v>
      </c>
      <c r="G72" s="3" t="n">
        <f aca="false">$K$43*F72</f>
        <v>0</v>
      </c>
      <c r="H72" s="3" t="n">
        <f aca="false">IF($C$23&gt;$E$43,($C$23-$E$43)*$G$43,0)</f>
        <v>38.93</v>
      </c>
      <c r="I72" s="3" t="n">
        <f aca="false">IF($C$24&gt;$F$43,($C$24-$F$43)*$H$43,0)</f>
        <v>12.09</v>
      </c>
      <c r="J72" s="3" t="n">
        <f aca="false">$C$25*$I$43</f>
        <v>0.0207</v>
      </c>
      <c r="K72" s="3" t="n">
        <f aca="false">IF($E$43&gt;$C$23,($E$43-$C$23)*$C$8,0)</f>
        <v>0</v>
      </c>
      <c r="L72" s="3" t="n">
        <f aca="false">IF($F$43&gt;$C$24,($F$43-$C$24)*$C$9,0)</f>
        <v>0</v>
      </c>
      <c r="M72" s="231" t="n">
        <v>4.2</v>
      </c>
      <c r="N72" s="232" t="n">
        <f aca="false">$C$2+($E$43*$C$8)+($F$43*$C$9)</f>
        <v>5.27</v>
      </c>
      <c r="O72" s="3" t="n">
        <f aca="false">$C$11*G72+$C$11*P72</f>
        <v>2.201835</v>
      </c>
      <c r="P72" s="3" t="n">
        <f aca="false">IF($C$23&gt;$E$43,($C$23-$E$43)*$C$8,0)</f>
        <v>14.6789</v>
      </c>
      <c r="Q72" s="3" t="n">
        <f aca="false">IF($C$24&gt;$F$43,($C$24-$F$43)*$C$9,0)</f>
        <v>3.72</v>
      </c>
      <c r="R72" s="3" t="n">
        <f aca="false">$C$25*($C$10*10000/1000000)</f>
        <v>0.00414</v>
      </c>
      <c r="S72" s="3" t="n">
        <v>0</v>
      </c>
      <c r="T72" s="3" t="n">
        <v>0</v>
      </c>
      <c r="U72" s="3" t="n">
        <v>0</v>
      </c>
      <c r="V72" s="235" t="n">
        <f aca="false">F72-N72</f>
        <v>-5.27</v>
      </c>
      <c r="W72" s="3" t="n">
        <f aca="false">H72-P72-O72</f>
        <v>22.049265</v>
      </c>
      <c r="X72" s="3" t="n">
        <f aca="false">I72-Q72</f>
        <v>8.37</v>
      </c>
      <c r="Y72" s="3" t="n">
        <f aca="false">J72-R72</f>
        <v>0.01656</v>
      </c>
      <c r="Z72" s="3" t="n">
        <f aca="false">K72-S72</f>
        <v>0</v>
      </c>
      <c r="AA72" s="3" t="n">
        <f aca="false">L72-T72</f>
        <v>0</v>
      </c>
      <c r="AB72" s="3" t="n">
        <f aca="false">M72-U72</f>
        <v>4.2</v>
      </c>
      <c r="AC72" s="235" t="n">
        <f aca="false">$E72*F72</f>
        <v>0</v>
      </c>
      <c r="AD72" s="3" t="n">
        <f aca="false">E72*H72</f>
        <v>77860</v>
      </c>
      <c r="AE72" s="3" t="n">
        <f aca="false">E72*I72</f>
        <v>24180</v>
      </c>
      <c r="AF72" s="3" t="n">
        <f aca="false">E72*J72</f>
        <v>41.4</v>
      </c>
      <c r="AG72" s="3" t="n">
        <f aca="false">E72*K72</f>
        <v>0</v>
      </c>
      <c r="AH72" s="3" t="n">
        <f aca="false">E72*L72</f>
        <v>0</v>
      </c>
      <c r="AI72" s="231" t="n">
        <f aca="false">E72*M72</f>
        <v>8400</v>
      </c>
      <c r="AJ72" s="232" t="n">
        <f aca="false">$E72*N72</f>
        <v>10540</v>
      </c>
      <c r="AK72" s="3" t="n">
        <f aca="false">E72*O72</f>
        <v>4403.67</v>
      </c>
      <c r="AL72" s="3" t="n">
        <f aca="false">E72*P72</f>
        <v>29357.8</v>
      </c>
      <c r="AM72" s="3" t="n">
        <f aca="false">E72*Q72</f>
        <v>7440</v>
      </c>
      <c r="AN72" s="3" t="n">
        <f aca="false">E72*R72</f>
        <v>8.28</v>
      </c>
      <c r="AO72" s="3" t="n">
        <f aca="false">E72*Z72</f>
        <v>0</v>
      </c>
      <c r="AP72" s="3" t="n">
        <f aca="false">E72*T72</f>
        <v>0</v>
      </c>
      <c r="AQ72" s="231" t="n">
        <f aca="false">E72*U72</f>
        <v>0</v>
      </c>
      <c r="AR72" s="3" t="n">
        <f aca="false">AC72-AJ72</f>
        <v>-10540</v>
      </c>
      <c r="AS72" s="3" t="n">
        <f aca="false">AD72-AK72-AL72</f>
        <v>44098.53</v>
      </c>
      <c r="AT72" s="3" t="n">
        <f aca="false">AE72-AM72</f>
        <v>16740</v>
      </c>
      <c r="AU72" s="3" t="n">
        <f aca="false">AF72-AN72</f>
        <v>33.12</v>
      </c>
      <c r="AV72" s="3" t="n">
        <f aca="false">AG72-AO72</f>
        <v>0</v>
      </c>
      <c r="AW72" s="3" t="n">
        <f aca="false">AH72-AP72</f>
        <v>0</v>
      </c>
      <c r="AX72" s="238" t="n">
        <f aca="false">AI72-AQ72</f>
        <v>8400</v>
      </c>
      <c r="AY72" s="5" t="n">
        <f aca="false">E72*$C$23</f>
        <v>458000</v>
      </c>
      <c r="AZ72" s="5" t="n">
        <f aca="false">E72*$C$24</f>
        <v>186000</v>
      </c>
      <c r="BA72" s="230" t="n">
        <f aca="false">E72*$C$25</f>
        <v>414</v>
      </c>
      <c r="BB72" s="24" t="n">
        <f aca="false">$K$43*AR72</f>
        <v>-0</v>
      </c>
      <c r="BC72" s="35" t="n">
        <f aca="false">$L$43*AR72</f>
        <v>-0</v>
      </c>
      <c r="BD72" s="2"/>
      <c r="BE72" s="2"/>
      <c r="BF72" s="2"/>
      <c r="BG72" s="2"/>
      <c r="BH72" s="2"/>
      <c r="BI72" s="2"/>
      <c r="BJ72" s="2"/>
      <c r="BK72" s="2"/>
      <c r="BL72" s="2"/>
      <c r="BM72" s="2"/>
    </row>
    <row r="73" customFormat="false" ht="12.75" hidden="false" customHeight="true" outlineLevel="0" collapsed="false">
      <c r="A73" s="1"/>
      <c r="B73" s="56"/>
      <c r="C73" s="25" t="str">
        <f aca="false">$C$44</f>
        <v>Program 3</v>
      </c>
      <c r="D73" s="281" t="n">
        <f aca="false">D64</f>
        <v>0.17</v>
      </c>
      <c r="E73" s="230" t="n">
        <f aca="false">D73*$D$32</f>
        <v>850</v>
      </c>
      <c r="F73" s="235" t="n">
        <v>6</v>
      </c>
      <c r="G73" s="3" t="n">
        <f aca="false">$K$44*F73</f>
        <v>6</v>
      </c>
      <c r="H73" s="3" t="n">
        <f aca="false">IF($C$23&gt;$E$44,($C$23-$E$44)*$G$44,0)</f>
        <v>23.1</v>
      </c>
      <c r="I73" s="3" t="n">
        <f aca="false">IF($C$24&gt;$F$44,($C$24-$F$44)*$H$44,0)</f>
        <v>9.3</v>
      </c>
      <c r="J73" s="3" t="n">
        <f aca="false">$C$25*$I$44</f>
        <v>0.0207</v>
      </c>
      <c r="K73" s="3" t="n">
        <f aca="false">IF($E$44&gt;$C$23,($E$44-$C$23)*$C$8,0)</f>
        <v>0</v>
      </c>
      <c r="L73" s="3" t="n">
        <f aca="false">IF($F$44&gt;$C$24,($F$44-$C$24)*$C$9,0)</f>
        <v>0</v>
      </c>
      <c r="M73" s="231" t="n">
        <v>2.8</v>
      </c>
      <c r="N73" s="232" t="n">
        <f aca="false">$C$2+($E$44*$C$8)+($F$44*$C$9)</f>
        <v>10.0775</v>
      </c>
      <c r="O73" s="3" t="n">
        <f aca="false">$C$11*G73+$C$11*P73</f>
        <v>2.38071</v>
      </c>
      <c r="P73" s="3" t="n">
        <f aca="false">IF($C$23&gt;$E$44,($C$23-$E$44)*$C$8,0)</f>
        <v>9.8714</v>
      </c>
      <c r="Q73" s="3" t="n">
        <f aca="false">IF($C$24&gt;$F$44,($C$24-$F$44)*$C$9,0)</f>
        <v>3.72</v>
      </c>
      <c r="R73" s="3" t="n">
        <f aca="false">$C$25*($C$10*10000/1000000)</f>
        <v>0.00414</v>
      </c>
      <c r="S73" s="3" t="n">
        <v>0</v>
      </c>
      <c r="T73" s="3" t="n">
        <v>0</v>
      </c>
      <c r="U73" s="3" t="n">
        <v>0</v>
      </c>
      <c r="V73" s="235" t="n">
        <f aca="false">F73-N73</f>
        <v>-4.0775</v>
      </c>
      <c r="W73" s="3" t="n">
        <f aca="false">H73-P73-O73</f>
        <v>10.84789</v>
      </c>
      <c r="X73" s="3" t="n">
        <f aca="false">I73-Q73</f>
        <v>5.58</v>
      </c>
      <c r="Y73" s="3" t="n">
        <f aca="false">J73-R73</f>
        <v>0.01656</v>
      </c>
      <c r="Z73" s="3" t="n">
        <f aca="false">K73-S73</f>
        <v>0</v>
      </c>
      <c r="AA73" s="3" t="n">
        <f aca="false">L73-T73</f>
        <v>0</v>
      </c>
      <c r="AB73" s="3" t="n">
        <f aca="false">M73-U73</f>
        <v>2.8</v>
      </c>
      <c r="AC73" s="235" t="n">
        <f aca="false">$E73*F73</f>
        <v>5100</v>
      </c>
      <c r="AD73" s="3" t="n">
        <f aca="false">E73*H73</f>
        <v>19635</v>
      </c>
      <c r="AE73" s="3" t="n">
        <f aca="false">E73*I73</f>
        <v>7905</v>
      </c>
      <c r="AF73" s="3" t="n">
        <f aca="false">E73*J73</f>
        <v>17.595</v>
      </c>
      <c r="AG73" s="3" t="n">
        <f aca="false">E73*K73</f>
        <v>0</v>
      </c>
      <c r="AH73" s="3" t="n">
        <f aca="false">E73*L73</f>
        <v>0</v>
      </c>
      <c r="AI73" s="231" t="n">
        <f aca="false">E73*M73</f>
        <v>2380</v>
      </c>
      <c r="AJ73" s="232" t="n">
        <f aca="false">$E73*N73</f>
        <v>8565.875</v>
      </c>
      <c r="AK73" s="3" t="n">
        <f aca="false">E73*O73</f>
        <v>2023.6035</v>
      </c>
      <c r="AL73" s="3" t="n">
        <f aca="false">E73*P73</f>
        <v>8390.69</v>
      </c>
      <c r="AM73" s="3" t="n">
        <f aca="false">E73*Q73</f>
        <v>3162</v>
      </c>
      <c r="AN73" s="3" t="n">
        <f aca="false">E73*R73</f>
        <v>3.519</v>
      </c>
      <c r="AO73" s="3" t="n">
        <f aca="false">E73*Z73</f>
        <v>0</v>
      </c>
      <c r="AP73" s="3" t="n">
        <f aca="false">E73*T73</f>
        <v>0</v>
      </c>
      <c r="AQ73" s="231" t="n">
        <f aca="false">E73*U73</f>
        <v>0</v>
      </c>
      <c r="AR73" s="3" t="n">
        <f aca="false">AC73-AJ73</f>
        <v>-3465.875</v>
      </c>
      <c r="AS73" s="3" t="n">
        <f aca="false">AD73-AK73-AL73</f>
        <v>9220.7065</v>
      </c>
      <c r="AT73" s="3" t="n">
        <f aca="false">AE73-AM73</f>
        <v>4743</v>
      </c>
      <c r="AU73" s="3" t="n">
        <f aca="false">AF73-AN73</f>
        <v>14.076</v>
      </c>
      <c r="AV73" s="3" t="n">
        <f aca="false">AG73-AO73</f>
        <v>0</v>
      </c>
      <c r="AW73" s="3" t="n">
        <f aca="false">AH73-AP73</f>
        <v>0</v>
      </c>
      <c r="AX73" s="238" t="n">
        <f aca="false">AI73-AQ73</f>
        <v>2380</v>
      </c>
      <c r="AY73" s="5" t="n">
        <f aca="false">E73*$C$23</f>
        <v>194650</v>
      </c>
      <c r="AZ73" s="5" t="n">
        <f aca="false">E73*$C$24</f>
        <v>79050</v>
      </c>
      <c r="BA73" s="230" t="n">
        <f aca="false">E73*$C$25</f>
        <v>175.95</v>
      </c>
      <c r="BB73" s="24" t="n">
        <f aca="false">$K$44*AR73</f>
        <v>-3465.875</v>
      </c>
      <c r="BC73" s="35" t="n">
        <f aca="false">$L$44*AR73</f>
        <v>-0</v>
      </c>
      <c r="BD73" s="2"/>
      <c r="BE73" s="2"/>
      <c r="BF73" s="2"/>
      <c r="BG73" s="2"/>
      <c r="BH73" s="2"/>
      <c r="BI73" s="2"/>
      <c r="BJ73" s="2"/>
      <c r="BK73" s="2"/>
      <c r="BL73" s="2"/>
      <c r="BM73" s="2"/>
    </row>
    <row r="74" customFormat="false" ht="12.75" hidden="false" customHeight="true" outlineLevel="0" collapsed="false">
      <c r="A74" s="1"/>
      <c r="B74" s="56"/>
      <c r="C74" s="25" t="str">
        <f aca="false">$C$45</f>
        <v>Program 4</v>
      </c>
      <c r="D74" s="281" t="n">
        <f aca="false">D65</f>
        <v>0.1</v>
      </c>
      <c r="E74" s="230" t="n">
        <f aca="false">D74*$D$32</f>
        <v>500</v>
      </c>
      <c r="F74" s="235" t="n">
        <v>15</v>
      </c>
      <c r="G74" s="3" t="n">
        <f aca="false">$K$45*F74</f>
        <v>15</v>
      </c>
      <c r="H74" s="3" t="n">
        <f aca="false">IF($C$23&gt;$E$45,($C$23-$E$45)*$G$45,0)</f>
        <v>3.77</v>
      </c>
      <c r="I74" s="3" t="n">
        <f aca="false">IF($C$24&gt;$F$45,($C$24-$F$45)*$H$45,0)</f>
        <v>9.3</v>
      </c>
      <c r="J74" s="3" t="n">
        <f aca="false">$C$25*$I$45</f>
        <v>0.0207</v>
      </c>
      <c r="K74" s="3" t="n">
        <f aca="false">IF($E$45&gt;$C$23,($E$45-$C$23)*$C$8,0)</f>
        <v>0</v>
      </c>
      <c r="L74" s="3" t="n">
        <f aca="false">IF($F$45&gt;$C$24,($F$45-$C$24)*$C$9,0)</f>
        <v>0</v>
      </c>
      <c r="M74" s="231" t="n">
        <v>0</v>
      </c>
      <c r="N74" s="232" t="n">
        <f aca="false">$C$2+($E$45*$C$8)+($F$45*$C$9)</f>
        <v>18.09</v>
      </c>
      <c r="O74" s="3" t="n">
        <f aca="false">$C$11*G74+$C$11*P74</f>
        <v>2.528835</v>
      </c>
      <c r="P74" s="3" t="n">
        <f aca="false">IF($C$23&gt;$E$45,($C$23-$E$45)*$C$8,0)</f>
        <v>1.8589</v>
      </c>
      <c r="Q74" s="3" t="n">
        <f aca="false">IF($C$24&gt;$F$45,($C$24-$F$45)*$C$9,0)</f>
        <v>3.72</v>
      </c>
      <c r="R74" s="3" t="n">
        <f aca="false">$C$25*($C$10*10000/1000000)</f>
        <v>0.00414</v>
      </c>
      <c r="S74" s="3" t="n">
        <v>0</v>
      </c>
      <c r="T74" s="3" t="n">
        <v>0</v>
      </c>
      <c r="U74" s="3" t="n">
        <v>0</v>
      </c>
      <c r="V74" s="235" t="n">
        <f aca="false">F74-N74</f>
        <v>-3.09</v>
      </c>
      <c r="W74" s="3" t="n">
        <f aca="false">H74-P74-O74</f>
        <v>-0.617735</v>
      </c>
      <c r="X74" s="3" t="n">
        <f aca="false">I74-Q74</f>
        <v>5.58</v>
      </c>
      <c r="Y74" s="3" t="n">
        <f aca="false">J74-R74</f>
        <v>0.01656</v>
      </c>
      <c r="Z74" s="3" t="n">
        <f aca="false">K74-S74</f>
        <v>0</v>
      </c>
      <c r="AA74" s="3" t="n">
        <f aca="false">L74-T74</f>
        <v>0</v>
      </c>
      <c r="AB74" s="3" t="n">
        <f aca="false">M74-U74</f>
        <v>0</v>
      </c>
      <c r="AC74" s="235" t="n">
        <f aca="false">$E74*F74</f>
        <v>7500</v>
      </c>
      <c r="AD74" s="3" t="n">
        <f aca="false">E74*H74</f>
        <v>1885</v>
      </c>
      <c r="AE74" s="3" t="n">
        <f aca="false">E74*I74</f>
        <v>4650</v>
      </c>
      <c r="AF74" s="3" t="n">
        <f aca="false">E74*J74</f>
        <v>10.35</v>
      </c>
      <c r="AG74" s="3" t="n">
        <f aca="false">E74*K74</f>
        <v>0</v>
      </c>
      <c r="AH74" s="3" t="n">
        <f aca="false">E74*L74</f>
        <v>0</v>
      </c>
      <c r="AI74" s="231" t="n">
        <f aca="false">E74*M74</f>
        <v>0</v>
      </c>
      <c r="AJ74" s="232" t="n">
        <f aca="false">$E74*N74</f>
        <v>9045</v>
      </c>
      <c r="AK74" s="3" t="n">
        <f aca="false">E74*O74</f>
        <v>1264.4175</v>
      </c>
      <c r="AL74" s="3" t="n">
        <f aca="false">E74*P74</f>
        <v>929.45</v>
      </c>
      <c r="AM74" s="3" t="n">
        <f aca="false">E74*Q74</f>
        <v>1860</v>
      </c>
      <c r="AN74" s="3" t="n">
        <f aca="false">E74*R74</f>
        <v>2.07</v>
      </c>
      <c r="AO74" s="3" t="n">
        <f aca="false">E74*Z74</f>
        <v>0</v>
      </c>
      <c r="AP74" s="3" t="n">
        <f aca="false">E74*T74</f>
        <v>0</v>
      </c>
      <c r="AQ74" s="231" t="n">
        <f aca="false">E74*U74</f>
        <v>0</v>
      </c>
      <c r="AR74" s="3" t="n">
        <f aca="false">AC74-AJ74</f>
        <v>-1545</v>
      </c>
      <c r="AS74" s="3" t="n">
        <f aca="false">AD74-AK74-AL74</f>
        <v>-308.8675</v>
      </c>
      <c r="AT74" s="3" t="n">
        <f aca="false">AE74-AM74</f>
        <v>2790</v>
      </c>
      <c r="AU74" s="3" t="n">
        <f aca="false">AF74-AN74</f>
        <v>8.28</v>
      </c>
      <c r="AV74" s="3" t="n">
        <f aca="false">AG74-AO74</f>
        <v>0</v>
      </c>
      <c r="AW74" s="3" t="n">
        <f aca="false">AH74-AP74</f>
        <v>0</v>
      </c>
      <c r="AX74" s="238" t="n">
        <f aca="false">AI74-AQ74</f>
        <v>0</v>
      </c>
      <c r="AY74" s="5" t="n">
        <f aca="false">E74*$C$23</f>
        <v>114500</v>
      </c>
      <c r="AZ74" s="5" t="n">
        <f aca="false">E74*$C$24</f>
        <v>46500</v>
      </c>
      <c r="BA74" s="230" t="n">
        <f aca="false">E74*$C$25</f>
        <v>103.5</v>
      </c>
      <c r="BB74" s="24" t="n">
        <f aca="false">$K$45*AR74</f>
        <v>-1545</v>
      </c>
      <c r="BC74" s="35" t="n">
        <f aca="false">$L$45*AR74</f>
        <v>-0</v>
      </c>
      <c r="BD74" s="2"/>
      <c r="BE74" s="2"/>
      <c r="BF74" s="2"/>
      <c r="BG74" s="2"/>
      <c r="BH74" s="2"/>
      <c r="BI74" s="2"/>
      <c r="BJ74" s="2"/>
      <c r="BK74" s="2"/>
      <c r="BL74" s="2"/>
      <c r="BM74" s="2"/>
    </row>
    <row r="75" customFormat="false" ht="12.75" hidden="false" customHeight="true" outlineLevel="0" collapsed="false">
      <c r="A75" s="1"/>
      <c r="B75" s="56"/>
      <c r="C75" s="25" t="str">
        <f aca="false">$C$46</f>
        <v>Program 5</v>
      </c>
      <c r="D75" s="281" t="n">
        <f aca="false">D66</f>
        <v>0.05</v>
      </c>
      <c r="E75" s="230" t="n">
        <f aca="false">D75*$D$32</f>
        <v>250</v>
      </c>
      <c r="F75" s="235" t="n">
        <v>25</v>
      </c>
      <c r="G75" s="3" t="n">
        <f aca="false">$K$46*F75</f>
        <v>25</v>
      </c>
      <c r="H75" s="3" t="n">
        <f aca="false">IF($C$23&gt;$E$46,($C$23-$E$46)*$G$46,0)</f>
        <v>0</v>
      </c>
      <c r="I75" s="3" t="n">
        <f aca="false">IF($C$24&gt;$F$46,($C$24-$F$46)*$H$46,0)</f>
        <v>9.3</v>
      </c>
      <c r="J75" s="3" t="n">
        <f aca="false">$C$25*$I$46</f>
        <v>0.0207</v>
      </c>
      <c r="K75" s="3" t="n">
        <f aca="false">IF($E$46&gt;$C$23,($E$46-$C$23)*$C$8,0)</f>
        <v>14.1661</v>
      </c>
      <c r="L75" s="3" t="n">
        <f aca="false">IF($F$46&gt;$C$24,($F$46-$C$24)*$C$9,0)</f>
        <v>0</v>
      </c>
      <c r="M75" s="231" t="n">
        <v>0</v>
      </c>
      <c r="N75" s="232" t="n">
        <f aca="false">$C$2+($E$46*$C$8)+($F$46*$C$9)</f>
        <v>34.115</v>
      </c>
      <c r="O75" s="3" t="n">
        <f aca="false">$C$11*G75+$C$11*P75</f>
        <v>3.75</v>
      </c>
      <c r="P75" s="3" t="n">
        <f aca="false">IF($C$23&gt;$E$46,($C$23-$E$46)*$C$8,0)</f>
        <v>0</v>
      </c>
      <c r="Q75" s="3" t="n">
        <f aca="false">IF($C$24&gt;$F$46,($C$24-$F$46)*$C$9,0)</f>
        <v>3.72</v>
      </c>
      <c r="R75" s="3" t="n">
        <f aca="false">$C$25*($C$10*10000/1000000)</f>
        <v>0.00414</v>
      </c>
      <c r="S75" s="3" t="n">
        <v>0</v>
      </c>
      <c r="T75" s="3" t="n">
        <v>0</v>
      </c>
      <c r="U75" s="3" t="n">
        <v>0</v>
      </c>
      <c r="V75" s="235" t="n">
        <f aca="false">F75-N75</f>
        <v>-9.115</v>
      </c>
      <c r="W75" s="3" t="n">
        <f aca="false">H75-P75-O75</f>
        <v>-3.75</v>
      </c>
      <c r="X75" s="3" t="n">
        <f aca="false">I75-Q75</f>
        <v>5.58</v>
      </c>
      <c r="Y75" s="3" t="n">
        <f aca="false">J75-R75</f>
        <v>0.01656</v>
      </c>
      <c r="Z75" s="3" t="n">
        <f aca="false">K75-S75</f>
        <v>14.1661</v>
      </c>
      <c r="AA75" s="3" t="n">
        <f aca="false">L75-T75</f>
        <v>0</v>
      </c>
      <c r="AB75" s="3" t="n">
        <f aca="false">M75-U75</f>
        <v>0</v>
      </c>
      <c r="AC75" s="235" t="n">
        <f aca="false">$E75*F75</f>
        <v>6250</v>
      </c>
      <c r="AD75" s="3" t="n">
        <f aca="false">E75*H75</f>
        <v>0</v>
      </c>
      <c r="AE75" s="3" t="n">
        <f aca="false">E75*I75</f>
        <v>2325</v>
      </c>
      <c r="AF75" s="3" t="n">
        <f aca="false">E75*J75</f>
        <v>5.175</v>
      </c>
      <c r="AG75" s="3" t="n">
        <f aca="false">E75*K75</f>
        <v>3541.525</v>
      </c>
      <c r="AH75" s="3" t="n">
        <f aca="false">E75*L75</f>
        <v>0</v>
      </c>
      <c r="AI75" s="231" t="n">
        <f aca="false">E75*M75</f>
        <v>0</v>
      </c>
      <c r="AJ75" s="232" t="n">
        <f aca="false">$E75*N75</f>
        <v>8528.75</v>
      </c>
      <c r="AK75" s="3" t="n">
        <f aca="false">E75*O75</f>
        <v>937.5</v>
      </c>
      <c r="AL75" s="3" t="n">
        <f aca="false">E75*P75</f>
        <v>0</v>
      </c>
      <c r="AM75" s="3" t="n">
        <f aca="false">E75*Q75</f>
        <v>930</v>
      </c>
      <c r="AN75" s="3" t="n">
        <f aca="false">E75*R75</f>
        <v>1.035</v>
      </c>
      <c r="AO75" s="3" t="n">
        <f aca="false">E75*Z75</f>
        <v>3541.525</v>
      </c>
      <c r="AP75" s="3" t="n">
        <f aca="false">E75*T75</f>
        <v>0</v>
      </c>
      <c r="AQ75" s="231" t="n">
        <f aca="false">E75*U75</f>
        <v>0</v>
      </c>
      <c r="AR75" s="3" t="n">
        <f aca="false">AC75-AJ75</f>
        <v>-2278.75</v>
      </c>
      <c r="AS75" s="3" t="n">
        <f aca="false">AD75-AK75-AL75</f>
        <v>-937.5</v>
      </c>
      <c r="AT75" s="3" t="n">
        <f aca="false">AE75-AM75</f>
        <v>1395</v>
      </c>
      <c r="AU75" s="3" t="n">
        <f aca="false">AF75-AN75</f>
        <v>4.14</v>
      </c>
      <c r="AV75" s="3" t="n">
        <f aca="false">AG75-AO75</f>
        <v>0</v>
      </c>
      <c r="AW75" s="3" t="n">
        <f aca="false">AH75-AP75</f>
        <v>0</v>
      </c>
      <c r="AX75" s="238" t="n">
        <f aca="false">AI75-AQ75</f>
        <v>0</v>
      </c>
      <c r="AY75" s="5" t="n">
        <f aca="false">E75*$C$23</f>
        <v>57250</v>
      </c>
      <c r="AZ75" s="5" t="n">
        <f aca="false">E75*$C$24</f>
        <v>23250</v>
      </c>
      <c r="BA75" s="230" t="n">
        <f aca="false">E75*$C$25</f>
        <v>51.75</v>
      </c>
      <c r="BB75" s="24" t="n">
        <f aca="false">$K$46*AR75</f>
        <v>-2278.75</v>
      </c>
      <c r="BC75" s="35" t="n">
        <f aca="false">$L$46*AR75</f>
        <v>-0</v>
      </c>
      <c r="BD75" s="2"/>
      <c r="BE75" s="2"/>
      <c r="BF75" s="2"/>
      <c r="BG75" s="2"/>
      <c r="BH75" s="2"/>
      <c r="BI75" s="2"/>
      <c r="BJ75" s="2"/>
      <c r="BK75" s="2"/>
      <c r="BL75" s="2"/>
      <c r="BM75" s="2"/>
    </row>
    <row r="76" customFormat="false" ht="12.75" hidden="false" customHeight="true" outlineLevel="0" collapsed="false">
      <c r="A76" s="27"/>
      <c r="B76" s="56"/>
      <c r="C76" s="25" t="str">
        <f aca="false">$C$47</f>
        <v>Program 6</v>
      </c>
      <c r="D76" s="192" t="n">
        <f aca="false">D67</f>
        <v>0.01</v>
      </c>
      <c r="E76" s="230" t="n">
        <f aca="false">D76*$D$30</f>
        <v>150</v>
      </c>
      <c r="F76" s="3" t="n">
        <v>25</v>
      </c>
      <c r="G76" s="3" t="n">
        <f aca="false">$K$46*F76</f>
        <v>25</v>
      </c>
      <c r="H76" s="3" t="n">
        <f aca="false">IF($C$23&gt;$E$46,($C$23-$E$46)*$G$46,0)</f>
        <v>0</v>
      </c>
      <c r="I76" s="3" t="n">
        <f aca="false">IF($C$24&gt;$F$46,($C$24-$F$46)*$H$46,0)</f>
        <v>9.3</v>
      </c>
      <c r="J76" s="3" t="n">
        <f aca="false">$C$25*$I$46</f>
        <v>0.0207</v>
      </c>
      <c r="K76" s="3" t="n">
        <f aca="false">IF($E$46&gt;$C$23,($E$46-$C$23)*$C$8,0)</f>
        <v>14.1661</v>
      </c>
      <c r="L76" s="3" t="n">
        <f aca="false">IF($F$46&gt;$C$24,($F$46-$C$24)*$C$9,0)</f>
        <v>0</v>
      </c>
      <c r="M76" s="231" t="n">
        <v>0</v>
      </c>
      <c r="N76" s="232" t="n">
        <f aca="false">$C$2+($E$46*$C$8)+($F$46*$C$9)</f>
        <v>34.115</v>
      </c>
      <c r="O76" s="3" t="n">
        <f aca="false">$C$11*G76+$C$11*P76</f>
        <v>3.75</v>
      </c>
      <c r="P76" s="3" t="n">
        <f aca="false">IF($C$23&gt;$E$46,($C$23-$E$46)*$C$8,0)</f>
        <v>0</v>
      </c>
      <c r="Q76" s="3" t="n">
        <f aca="false">IF($C$24&gt;$F$46,($C$24-$F$46)*$C$9,0)</f>
        <v>3.72</v>
      </c>
      <c r="R76" s="3" t="n">
        <f aca="false">$C$25*($C$10*10000/1000000)</f>
        <v>0.00414</v>
      </c>
      <c r="S76" s="3" t="n">
        <v>0</v>
      </c>
      <c r="T76" s="3" t="n">
        <v>0</v>
      </c>
      <c r="U76" s="3" t="n">
        <v>0</v>
      </c>
      <c r="V76" s="235" t="n">
        <f aca="false">F76-N76</f>
        <v>-9.115</v>
      </c>
      <c r="W76" s="3" t="n">
        <f aca="false">H76-P76-O76</f>
        <v>-3.75</v>
      </c>
      <c r="X76" s="3" t="n">
        <f aca="false">I76-Q76</f>
        <v>5.58</v>
      </c>
      <c r="Y76" s="3" t="n">
        <f aca="false">J76-R76</f>
        <v>0.01656</v>
      </c>
      <c r="Z76" s="3" t="n">
        <f aca="false">K76-S76</f>
        <v>14.1661</v>
      </c>
      <c r="AA76" s="3" t="n">
        <f aca="false">L76-T76</f>
        <v>0</v>
      </c>
      <c r="AB76" s="3" t="n">
        <f aca="false">M76-U76</f>
        <v>0</v>
      </c>
      <c r="AC76" s="235" t="n">
        <f aca="false">$E76*F76</f>
        <v>3750</v>
      </c>
      <c r="AD76" s="3" t="n">
        <f aca="false">E76*H76</f>
        <v>0</v>
      </c>
      <c r="AE76" s="3" t="n">
        <f aca="false">E76*I76</f>
        <v>1395</v>
      </c>
      <c r="AF76" s="3" t="n">
        <f aca="false">E76*J76</f>
        <v>3.105</v>
      </c>
      <c r="AG76" s="3" t="n">
        <f aca="false">E76*K76</f>
        <v>2124.915</v>
      </c>
      <c r="AH76" s="3" t="n">
        <f aca="false">E76*L76</f>
        <v>0</v>
      </c>
      <c r="AI76" s="3" t="n">
        <f aca="false">E76*M76</f>
        <v>0</v>
      </c>
      <c r="AJ76" s="232" t="n">
        <f aca="false">$E76*N76</f>
        <v>5117.25</v>
      </c>
      <c r="AK76" s="3" t="n">
        <f aca="false">E76*O76</f>
        <v>562.5</v>
      </c>
      <c r="AL76" s="3" t="n">
        <f aca="false">E76*P76</f>
        <v>0</v>
      </c>
      <c r="AM76" s="3" t="n">
        <f aca="false">E76*Q76</f>
        <v>558</v>
      </c>
      <c r="AN76" s="3" t="n">
        <f aca="false">E76*R76</f>
        <v>0.621</v>
      </c>
      <c r="AO76" s="3" t="n">
        <f aca="false">E76*Z76</f>
        <v>2124.915</v>
      </c>
      <c r="AP76" s="3" t="n">
        <f aca="false">E76*T76</f>
        <v>0</v>
      </c>
      <c r="AQ76" s="231" t="n">
        <f aca="false">E76*U76</f>
        <v>0</v>
      </c>
      <c r="AR76" s="3" t="n">
        <f aca="false">AC76-AJ76</f>
        <v>-1367.25</v>
      </c>
      <c r="AS76" s="3" t="n">
        <f aca="false">AD76-AK76-AL76</f>
        <v>-562.5</v>
      </c>
      <c r="AT76" s="3" t="n">
        <f aca="false">AE76-AM76</f>
        <v>837</v>
      </c>
      <c r="AU76" s="3" t="n">
        <f aca="false">AF76-AN76</f>
        <v>2.484</v>
      </c>
      <c r="AV76" s="3" t="n">
        <f aca="false">AG76-AO76</f>
        <v>0</v>
      </c>
      <c r="AW76" s="3" t="n">
        <f aca="false">AH76-AP76</f>
        <v>0</v>
      </c>
      <c r="AX76" s="238" t="n">
        <f aca="false">AI76-AQ76</f>
        <v>0</v>
      </c>
      <c r="AY76" s="5" t="n">
        <f aca="false">E76*$C$23</f>
        <v>34350</v>
      </c>
      <c r="AZ76" s="5" t="n">
        <f aca="false">E76*$C$24</f>
        <v>13950</v>
      </c>
      <c r="BA76" s="230" t="n">
        <f aca="false">E76*$C$25</f>
        <v>31.05</v>
      </c>
      <c r="BB76" s="24" t="n">
        <f aca="false">$K$46*AR76</f>
        <v>-1367.25</v>
      </c>
      <c r="BC76" s="35" t="n">
        <f aca="false">$L$46*AR76</f>
        <v>-0</v>
      </c>
      <c r="BD76" s="2"/>
      <c r="BE76" s="2"/>
      <c r="BF76" s="2"/>
      <c r="BG76" s="2"/>
      <c r="BH76" s="2"/>
      <c r="BI76" s="2"/>
      <c r="BJ76" s="2"/>
      <c r="BK76" s="2"/>
      <c r="BL76" s="2"/>
      <c r="BM76" s="2"/>
    </row>
    <row r="77" customFormat="false" ht="12.75" hidden="false" customHeight="true" outlineLevel="0" collapsed="false">
      <c r="A77" s="1"/>
      <c r="B77" s="30"/>
      <c r="C77" s="32" t="n">
        <f aca="false">$C$48</f>
        <v>0</v>
      </c>
      <c r="D77" s="287" t="n">
        <f aca="false">D68</f>
        <v>0</v>
      </c>
      <c r="E77" s="283" t="n">
        <f aca="false">D77*$D$32</f>
        <v>0</v>
      </c>
      <c r="F77" s="284" t="n">
        <v>35</v>
      </c>
      <c r="G77" s="3" t="n">
        <f aca="false">$K$48*F77</f>
        <v>35</v>
      </c>
      <c r="H77" s="244" t="n">
        <f aca="false">IF($C$23&gt;$E$48,($C$23-$E$48)*$G$48,0)</f>
        <v>0</v>
      </c>
      <c r="I77" s="244" t="n">
        <f aca="false">IF($C$24&gt;$F$48,($C$24-$F$48)*$H$48,0)</f>
        <v>0</v>
      </c>
      <c r="J77" s="244" t="n">
        <f aca="false">$C$25*$I$48</f>
        <v>0</v>
      </c>
      <c r="K77" s="244" t="n">
        <f aca="false">IF($E$48&gt;$C$23,($E$48-$C$23)*$C$8,0)</f>
        <v>0</v>
      </c>
      <c r="L77" s="244" t="n">
        <f aca="false">IF($F$48&gt;$C$24,($F$48-$C$24)*$C$9,0)</f>
        <v>0</v>
      </c>
      <c r="M77" s="246" t="n">
        <v>0</v>
      </c>
      <c r="N77" s="232" t="n">
        <f aca="false">$C$2+($E$48*$C$8)+($F$48*$C$9)</f>
        <v>5.27</v>
      </c>
      <c r="O77" s="3" t="n">
        <f aca="false">$C$11*G77+$C$11*P77</f>
        <v>7.451835</v>
      </c>
      <c r="P77" s="244" t="n">
        <f aca="false">IF($C$23&gt;$E$48,($C$23-$E$48)*$C$8,0)</f>
        <v>14.6789</v>
      </c>
      <c r="Q77" s="244" t="n">
        <f aca="false">IF($C$24&gt;$F$48,($C$24-$F$48)*$C$9,0)</f>
        <v>3.72</v>
      </c>
      <c r="R77" s="244" t="n">
        <f aca="false">$C$25*($C$10*10000/1000000)</f>
        <v>0.00414</v>
      </c>
      <c r="S77" s="244" t="n">
        <v>0</v>
      </c>
      <c r="T77" s="244" t="n">
        <v>0</v>
      </c>
      <c r="U77" s="244" t="n">
        <v>0</v>
      </c>
      <c r="V77" s="284" t="n">
        <f aca="false">F77-N77</f>
        <v>29.73</v>
      </c>
      <c r="W77" s="244" t="n">
        <f aca="false">H77-P77-O77</f>
        <v>-22.130735</v>
      </c>
      <c r="X77" s="244" t="n">
        <f aca="false">I77-Q77</f>
        <v>-3.72</v>
      </c>
      <c r="Y77" s="244" t="n">
        <f aca="false">J77-R77</f>
        <v>-0.00414</v>
      </c>
      <c r="Z77" s="244" t="n">
        <f aca="false">K77-S77</f>
        <v>0</v>
      </c>
      <c r="AA77" s="244" t="n">
        <f aca="false">L77-T77</f>
        <v>0</v>
      </c>
      <c r="AB77" s="244" t="n">
        <f aca="false">M77-U77</f>
        <v>0</v>
      </c>
      <c r="AC77" s="284" t="n">
        <f aca="false">$E77*F77</f>
        <v>0</v>
      </c>
      <c r="AD77" s="244" t="n">
        <f aca="false">E77*H77</f>
        <v>0</v>
      </c>
      <c r="AE77" s="244" t="n">
        <f aca="false">E77*I77</f>
        <v>0</v>
      </c>
      <c r="AF77" s="244" t="n">
        <f aca="false">E77*J77</f>
        <v>0</v>
      </c>
      <c r="AG77" s="244" t="n">
        <f aca="false">E77*K77</f>
        <v>0</v>
      </c>
      <c r="AH77" s="244" t="n">
        <f aca="false">E77*L77</f>
        <v>0</v>
      </c>
      <c r="AI77" s="246" t="n">
        <f aca="false">E77*M77</f>
        <v>0</v>
      </c>
      <c r="AJ77" s="245" t="n">
        <f aca="false">$E77*N77</f>
        <v>0</v>
      </c>
      <c r="AK77" s="244" t="n">
        <f aca="false">E77*O77</f>
        <v>0</v>
      </c>
      <c r="AL77" s="244" t="n">
        <f aca="false">E77*P77</f>
        <v>0</v>
      </c>
      <c r="AM77" s="244" t="n">
        <f aca="false">E77*Q77</f>
        <v>0</v>
      </c>
      <c r="AN77" s="244" t="n">
        <f aca="false">E77*R77</f>
        <v>0</v>
      </c>
      <c r="AO77" s="244" t="n">
        <f aca="false">E77*Z77</f>
        <v>0</v>
      </c>
      <c r="AP77" s="244" t="n">
        <f aca="false">E77*T77</f>
        <v>0</v>
      </c>
      <c r="AQ77" s="246" t="n">
        <f aca="false">E77*U77</f>
        <v>0</v>
      </c>
      <c r="AR77" s="3" t="n">
        <f aca="false">AC77-AJ77</f>
        <v>0</v>
      </c>
      <c r="AS77" s="3" t="n">
        <f aca="false">AD77-AK77-AL77</f>
        <v>0</v>
      </c>
      <c r="AT77" s="3" t="n">
        <f aca="false">AE77-AM77</f>
        <v>0</v>
      </c>
      <c r="AU77" s="3" t="n">
        <f aca="false">AF77-AN77</f>
        <v>0</v>
      </c>
      <c r="AV77" s="3" t="n">
        <f aca="false">AG77-AO77</f>
        <v>0</v>
      </c>
      <c r="AW77" s="3" t="n">
        <f aca="false">AH77-AP77</f>
        <v>0</v>
      </c>
      <c r="AX77" s="238" t="n">
        <f aca="false">AI77-AQ77</f>
        <v>0</v>
      </c>
      <c r="AY77" s="72" t="n">
        <f aca="false">E77*$C$23</f>
        <v>0</v>
      </c>
      <c r="AZ77" s="72" t="n">
        <f aca="false">E77*$C$24</f>
        <v>0</v>
      </c>
      <c r="BA77" s="283" t="n">
        <f aca="false">E77*$C$25</f>
        <v>0</v>
      </c>
      <c r="BB77" s="24" t="n">
        <f aca="false">$K$48*AR77</f>
        <v>0</v>
      </c>
      <c r="BC77" s="35" t="n">
        <f aca="false">$L$48*AR77</f>
        <v>0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</row>
    <row r="78" customFormat="false" ht="12.75" hidden="false" customHeight="true" outlineLevel="0" collapsed="false">
      <c r="A78" s="1"/>
      <c r="B78" s="247"/>
      <c r="C78" s="248" t="s">
        <v>171</v>
      </c>
      <c r="D78" s="249"/>
      <c r="E78" s="250"/>
      <c r="F78" s="251" t="n">
        <f aca="false">(($E71*F71)+($E72*F72)+($E73*F73)+($E74*F74)+($E75*F75)+($E77*F77))/($E79)</f>
        <v>3.69607843137255</v>
      </c>
      <c r="G78" s="251" t="n">
        <f aca="false">(($E71*G71)+($E72*G72)+($E73*G73)+($E74*G74)+($E75*G75)+($E77*G77))/($E79)</f>
        <v>3.69607843137255</v>
      </c>
      <c r="H78" s="251" t="n">
        <f aca="false">(($E71*H71)+($E72*H72)+($E73*H73)+($E74*H74)+($E75*H75)+($E77*H77))/($E79)</f>
        <v>27.366568627451</v>
      </c>
      <c r="I78" s="251" t="n">
        <f aca="false">(($E71*I71)+($E72*I72)+($E73*I73)+($E74*I74)+($E75*I75)+($E77*I77))/($E79)</f>
        <v>10.1205882352941</v>
      </c>
      <c r="J78" s="251" t="n">
        <f aca="false">(($E71*J71)+($E72*J72)+($E73*J73)+($E74*J74)+($E75*J75)+($E77*J77))/($E79)</f>
        <v>0.0200911764705882</v>
      </c>
      <c r="K78" s="251" t="n">
        <f aca="false">(($E71*K71)+($E72*K72)+($E73*K73)+($E74*K74)+($E75*K75)+($E77*K77))/($E79)</f>
        <v>0.694416666666667</v>
      </c>
      <c r="L78" s="251" t="n">
        <f aca="false">(($E71*L71)+($E72*L72)+($E73*L73)+($E74*L74)+($E75*L75)+($E77*L77))/($E79)</f>
        <v>0</v>
      </c>
      <c r="M78" s="251" t="n">
        <f aca="false">(($E71*M71)+($E72*M72)+($E73*M73)+($E74*M74)+($E75*M75)+($E77*M77))/($E79)</f>
        <v>2.11372549019608</v>
      </c>
      <c r="N78" s="252" t="n">
        <f aca="false">(($E71*N71)+($E72*N72)+($E73*N73)+($E74*N74)+($E75*N75)+($E77*N77))/($E79)</f>
        <v>8.58708333333333</v>
      </c>
      <c r="O78" s="251" t="n">
        <f aca="false">(($E71*O71)+($E72*O72)+($E73*O73)+($E74*O74)+($E75*O75)+($E77*O77))/($E79)</f>
        <v>2.27483691176471</v>
      </c>
      <c r="P78" s="251" t="n">
        <f aca="false">(($E71*P71)+($E72*P72)+($E73*P73)+($E74*P74)+($E75*P75)+($E77*P77))/($E79)</f>
        <v>11.4695009803922</v>
      </c>
      <c r="Q78" s="251" t="n">
        <f aca="false">(($E71*Q71)+($E72*Q72)+($E73*Q73)+($E74*Q74)+($E75*Q75)+($E77*Q77))/($E79)</f>
        <v>3.61058823529412</v>
      </c>
      <c r="R78" s="251" t="n">
        <f aca="false">(($E71*R71)+($E72*R72)+($E73*R73)+($E74*R74)+($E75*R75)+($E77*R77))/($E79)</f>
        <v>0.00401823529411765</v>
      </c>
      <c r="S78" s="251" t="n">
        <f aca="false">(($E71*S71)+($E72*S72)+($E73*S73)+($E74*S74)+($E75*S75)+($E77*S77))/($E79)</f>
        <v>0</v>
      </c>
      <c r="T78" s="251" t="n">
        <f aca="false">(($E71*T71)+($E72*T72)+($E73*T73)+($E74*T74)+($E75*T75)+($E77*T77))/($E79)</f>
        <v>0</v>
      </c>
      <c r="U78" s="251" t="n">
        <f aca="false">(($E71*U71)+($E72*U72)+($E73*U73)+($E74*U74)+($E75*U75)+($E77*U77))/($E79)</f>
        <v>0</v>
      </c>
      <c r="V78" s="253" t="n">
        <f aca="false">(($E71*V71)+($E72*V72)+($E73*V73)+($E74*V74)+($E75*V75)+($E77*V77))/($E79)</f>
        <v>-4.89100490196078</v>
      </c>
      <c r="W78" s="251" t="n">
        <f aca="false">(($E71*W71)+($E72*W72)+($E73*W73)+($E74*W74)+($E75*W75)+($E77*W77))/($E79)</f>
        <v>13.6222307352941</v>
      </c>
      <c r="X78" s="251" t="n">
        <f aca="false">(($E71*X71)+($E72*X72)+($E73*X73)+($E74*X74)+($E75*X75)+($E77*X77))/($E79)</f>
        <v>6.51</v>
      </c>
      <c r="Y78" s="251" t="n">
        <f aca="false">(($E71*Y71)+($E72*Y72)+($E73*Y73)+($E74*Y74)+($E75*Y75)+($E77*Y77))/($E79)</f>
        <v>0.0160729411764706</v>
      </c>
      <c r="Z78" s="251" t="n">
        <f aca="false">(($E71*Z71)+($E72*Z72)+($E73*Z73)+($E74*Z74)+($E75*Z75)+($E77*Z77))/($E79)</f>
        <v>0.694416666666667</v>
      </c>
      <c r="AA78" s="251" t="n">
        <f aca="false">(($E71*AA71)+($E72*AA72)+($E73*AA73)+($E74*AA74)+($E75*AA75)+($E77*AA77))/($E79)</f>
        <v>0</v>
      </c>
      <c r="AB78" s="251" t="n">
        <f aca="false">(($E71*AB71)+($E72*AB72)+($E73*AB73)+($E74*AB74)+($E75*AB75)+($E77*AB77))/($E79)</f>
        <v>2.11372549019608</v>
      </c>
      <c r="AC78" s="253" t="n">
        <f aca="false">SUM(AC71:AC77)/$E79</f>
        <v>4.43137254901961</v>
      </c>
      <c r="AD78" s="251" t="n">
        <f aca="false">SUM(AD71:AD77)/$E79</f>
        <v>27.366568627451</v>
      </c>
      <c r="AE78" s="251" t="n">
        <f aca="false">SUM(AE71:AE77)/$E79</f>
        <v>10.3941176470588</v>
      </c>
      <c r="AF78" s="251" t="n">
        <f aca="false">SUM(AF71:AF77)/$E79</f>
        <v>0.0207</v>
      </c>
      <c r="AG78" s="251" t="n">
        <f aca="false">SUM(AG71:AG77)/$E79</f>
        <v>1.11106666666667</v>
      </c>
      <c r="AH78" s="251" t="n">
        <f aca="false">SUM(AH71:AH77)/$E79</f>
        <v>0</v>
      </c>
      <c r="AI78" s="251" t="n">
        <f aca="false">SUM(AI71:AI77)/$E79</f>
        <v>2.11372549019608</v>
      </c>
      <c r="AJ78" s="252" t="n">
        <f aca="false">SUM(AJ71:AJ77)/$E79</f>
        <v>9.59046568627451</v>
      </c>
      <c r="AK78" s="251" t="n">
        <f aca="false">SUM(AK71:AK77)/$E79</f>
        <v>2.38513102941176</v>
      </c>
      <c r="AL78" s="251" t="n">
        <f aca="false">SUM(AL71:AL77)/$E79</f>
        <v>11.4695009803922</v>
      </c>
      <c r="AM78" s="251" t="n">
        <f aca="false">SUM(AM71:AM77)/$E79</f>
        <v>3.72</v>
      </c>
      <c r="AN78" s="251" t="n">
        <f aca="false">SUM(AN71:AN77)/$E79</f>
        <v>0.00414</v>
      </c>
      <c r="AO78" s="251" t="n">
        <f aca="false">SUM(AO71:AO77)/$E79</f>
        <v>1.11106666666667</v>
      </c>
      <c r="AP78" s="251" t="n">
        <f aca="false">SUM(AP71:AP77)/$E79</f>
        <v>0</v>
      </c>
      <c r="AQ78" s="251" t="n">
        <f aca="false">SUM(AQ71:AQ77)/$E79</f>
        <v>0</v>
      </c>
      <c r="AR78" s="252" t="n">
        <f aca="false">SUM(AR71:AR77)/$E79</f>
        <v>-5.1590931372549</v>
      </c>
      <c r="AS78" s="251" t="n">
        <f aca="false">SUM(AS71:AS77)/$E79</f>
        <v>13.5119366176471</v>
      </c>
      <c r="AT78" s="251" t="n">
        <f aca="false">SUM(AT71:AT77)/$E79</f>
        <v>6.67411764705882</v>
      </c>
      <c r="AU78" s="251" t="n">
        <f aca="false">SUM(AU71:AU77)/$E79</f>
        <v>0.01656</v>
      </c>
      <c r="AV78" s="251" t="n">
        <f aca="false">SUM(AV71:AV77)/$E79</f>
        <v>0</v>
      </c>
      <c r="AW78" s="251" t="n">
        <f aca="false">SUM(AW71:AW77)/$E79</f>
        <v>0</v>
      </c>
      <c r="AX78" s="251" t="n">
        <f aca="false">SUM(AX71:AX77)/$E79</f>
        <v>2.11372549019608</v>
      </c>
      <c r="AY78" s="254" t="n">
        <f aca="false">SUM(AY71:AY77)/$E79</f>
        <v>229</v>
      </c>
      <c r="AZ78" s="255" t="n">
        <f aca="false">SUM(AZ71:AZ77)/$E79</f>
        <v>93</v>
      </c>
      <c r="BA78" s="256" t="n">
        <f aca="false">SUM(BA71:BA77)/$E79</f>
        <v>0.207</v>
      </c>
      <c r="BB78" s="253" t="n">
        <f aca="false">SUM(BB71:BB77)/$E79</f>
        <v>-1.69742647058824</v>
      </c>
      <c r="BC78" s="257" t="n">
        <f aca="false">SUM(BC71:BC77)/$E79</f>
        <v>0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 customFormat="false" ht="12.75" hidden="false" customHeight="true" outlineLevel="0" collapsed="false">
      <c r="A79" s="1"/>
      <c r="B79" s="258"/>
      <c r="C79" s="285" t="s">
        <v>73</v>
      </c>
      <c r="D79" s="260" t="n">
        <f aca="false">SUM(D71:D77)</f>
        <v>1</v>
      </c>
      <c r="E79" s="261" t="n">
        <f aca="false">SUM(E71:E77)</f>
        <v>5100</v>
      </c>
      <c r="F79" s="262"/>
      <c r="G79" s="262"/>
      <c r="H79" s="262"/>
      <c r="I79" s="262"/>
      <c r="J79" s="262"/>
      <c r="K79" s="262"/>
      <c r="L79" s="262"/>
      <c r="M79" s="263"/>
      <c r="N79" s="264"/>
      <c r="O79" s="262"/>
      <c r="P79" s="262"/>
      <c r="Q79" s="262"/>
      <c r="R79" s="262"/>
      <c r="S79" s="262"/>
      <c r="T79" s="262"/>
      <c r="U79" s="262"/>
      <c r="V79" s="265"/>
      <c r="W79" s="262"/>
      <c r="X79" s="262"/>
      <c r="Y79" s="262"/>
      <c r="Z79" s="262"/>
      <c r="AA79" s="262"/>
      <c r="AB79" s="262"/>
      <c r="AC79" s="265" t="n">
        <f aca="false">SUM(AC71:AC77)</f>
        <v>22600</v>
      </c>
      <c r="AD79" s="262" t="n">
        <f aca="false">SUM(AD71:AD77)</f>
        <v>139569.5</v>
      </c>
      <c r="AE79" s="262" t="n">
        <f aca="false">SUM(AE71:AE77)</f>
        <v>53010</v>
      </c>
      <c r="AF79" s="262" t="n">
        <f aca="false">SUM(AF71:AF77)</f>
        <v>105.57</v>
      </c>
      <c r="AG79" s="262" t="n">
        <f aca="false">SUM(AG71:AG77)</f>
        <v>5666.44</v>
      </c>
      <c r="AH79" s="262" t="n">
        <f aca="false">SUM(AH71:AH77)</f>
        <v>0</v>
      </c>
      <c r="AI79" s="262" t="n">
        <f aca="false">SUM(AI71:AI77)</f>
        <v>10780</v>
      </c>
      <c r="AJ79" s="264" t="n">
        <f aca="false">SUM(AJ71:AJ77)</f>
        <v>48911.375</v>
      </c>
      <c r="AK79" s="262" t="n">
        <f aca="false">SUM(AK71:AK77)</f>
        <v>12164.16825</v>
      </c>
      <c r="AL79" s="262" t="n">
        <f aca="false">SUM(AL71:AL77)</f>
        <v>58494.455</v>
      </c>
      <c r="AM79" s="262" t="n">
        <f aca="false">SUM(AM71:AM77)</f>
        <v>18972</v>
      </c>
      <c r="AN79" s="262" t="n">
        <f aca="false">SUM(AN71:AN77)</f>
        <v>21.114</v>
      </c>
      <c r="AO79" s="262" t="n">
        <f aca="false">SUM(AO71:AO77)</f>
        <v>5666.44</v>
      </c>
      <c r="AP79" s="262" t="n">
        <f aca="false">SUM(AP71:AP77)</f>
        <v>0</v>
      </c>
      <c r="AQ79" s="263" t="n">
        <f aca="false">SUM(AQ71:AQ77)</f>
        <v>0</v>
      </c>
      <c r="AR79" s="264" t="n">
        <f aca="false">SUM(AR71:AR77)</f>
        <v>-26311.375</v>
      </c>
      <c r="AS79" s="262" t="n">
        <f aca="false">SUM(AS71:AS77)</f>
        <v>68910.87675</v>
      </c>
      <c r="AT79" s="262" t="n">
        <f aca="false">SUM(AT71:AT77)</f>
        <v>34038</v>
      </c>
      <c r="AU79" s="262" t="n">
        <f aca="false">SUM(AU71:AU77)</f>
        <v>84.456</v>
      </c>
      <c r="AV79" s="262" t="n">
        <f aca="false">SUM(AV71:AV77)</f>
        <v>0</v>
      </c>
      <c r="AW79" s="262" t="n">
        <f aca="false">SUM(AW71:AW77)</f>
        <v>0</v>
      </c>
      <c r="AX79" s="270" t="n">
        <f aca="false">SUM(AX71:AX77)</f>
        <v>10780</v>
      </c>
      <c r="AY79" s="271" t="n">
        <f aca="false">SUM(AY71:AY77)</f>
        <v>1167900</v>
      </c>
      <c r="AZ79" s="272" t="n">
        <f aca="false">SUM(AZ71:AZ77)</f>
        <v>474300</v>
      </c>
      <c r="BA79" s="261" t="n">
        <f aca="false">SUM(BA71:BA77)</f>
        <v>1055.7</v>
      </c>
      <c r="BB79" s="273" t="n">
        <f aca="false">SUM(BB71:BB77)</f>
        <v>-8656.875</v>
      </c>
      <c r="BC79" s="274" t="n">
        <f aca="false">SUM(BC71:BC77)</f>
        <v>0</v>
      </c>
      <c r="BD79" s="2"/>
      <c r="BE79" s="2"/>
      <c r="BF79" s="2"/>
      <c r="BG79" s="2"/>
      <c r="BH79" s="2"/>
      <c r="BI79" s="2"/>
      <c r="BJ79" s="2"/>
      <c r="BK79" s="2"/>
      <c r="BL79" s="2"/>
      <c r="BM79" s="2"/>
    </row>
    <row r="80" customFormat="false" ht="12.75" hidden="false" customHeight="true" outlineLevel="0" collapsed="false">
      <c r="A80" s="1"/>
      <c r="B80" s="138" t="str">
        <f aca="false">B33</f>
        <v>Brand 4</v>
      </c>
      <c r="C80" s="275" t="str">
        <f aca="false">$C$42</f>
        <v>Program 1</v>
      </c>
      <c r="D80" s="286" t="n">
        <f aca="false">D71</f>
        <v>0.27</v>
      </c>
      <c r="E80" s="230" t="n">
        <f aca="false">D80*$D$33</f>
        <v>1350</v>
      </c>
      <c r="F80" s="278" t="n">
        <v>0</v>
      </c>
      <c r="G80" s="3" t="n">
        <f aca="false">$K$42*F80</f>
        <v>0</v>
      </c>
      <c r="H80" s="3" t="n">
        <f aca="false">IF($C$23&gt;$E$42,($C$23-$E$42)*$G$42,0)</f>
        <v>29.77</v>
      </c>
      <c r="I80" s="3" t="n">
        <f aca="false">IF($C$24&gt;$F$42,($C$24-$F$42)*$H$42,0)</f>
        <v>9.3</v>
      </c>
      <c r="J80" s="3" t="n">
        <f aca="false">$C$25*$I$42</f>
        <v>0.0207</v>
      </c>
      <c r="K80" s="3" t="n">
        <f aca="false">IF($E$42&gt;$C$23,($E$42-$C$23)*$C$8,0)</f>
        <v>0</v>
      </c>
      <c r="L80" s="3" t="n">
        <f aca="false">IF($F$42&gt;$C$24,($F$42-$C$24)*$C$9,0)</f>
        <v>0</v>
      </c>
      <c r="M80" s="231" t="n">
        <v>0</v>
      </c>
      <c r="N80" s="232" t="n">
        <f aca="false">$C$2+($E$42*$C$8)+($F$42*$C$9)</f>
        <v>5.27</v>
      </c>
      <c r="O80" s="3" t="n">
        <f aca="false">$C$11*G80+$C$11*P80</f>
        <v>2.201835</v>
      </c>
      <c r="P80" s="3" t="n">
        <f aca="false">IF($C$23&gt;$E$42,($C$23-$E$42)*$C$8,0)</f>
        <v>14.6789</v>
      </c>
      <c r="Q80" s="3" t="n">
        <f aca="false">IF($C$24&gt;$F$42,($C$24-$F$42)*$C$9,0)</f>
        <v>3.72</v>
      </c>
      <c r="R80" s="3" t="n">
        <f aca="false">$C$25*($C$10*10000/1000000)</f>
        <v>0.00414</v>
      </c>
      <c r="S80" s="277" t="n">
        <v>0</v>
      </c>
      <c r="T80" s="277" t="n">
        <v>0</v>
      </c>
      <c r="U80" s="277" t="n">
        <v>0</v>
      </c>
      <c r="V80" s="278" t="n">
        <f aca="false">F80-N80</f>
        <v>-5.27</v>
      </c>
      <c r="W80" s="277" t="n">
        <f aca="false">H80-P80-O80</f>
        <v>12.889265</v>
      </c>
      <c r="X80" s="277" t="n">
        <f aca="false">I80-Q80</f>
        <v>5.58</v>
      </c>
      <c r="Y80" s="277" t="n">
        <f aca="false">J80-R80</f>
        <v>0.01656</v>
      </c>
      <c r="Z80" s="277" t="n">
        <f aca="false">K80-S80</f>
        <v>0</v>
      </c>
      <c r="AA80" s="277" t="n">
        <f aca="false">L80-T80</f>
        <v>0</v>
      </c>
      <c r="AB80" s="277" t="n">
        <f aca="false">M80-U80</f>
        <v>0</v>
      </c>
      <c r="AC80" s="278" t="n">
        <f aca="false">$E80*F80</f>
        <v>0</v>
      </c>
      <c r="AD80" s="277" t="n">
        <f aca="false">E80*H80</f>
        <v>40189.5</v>
      </c>
      <c r="AE80" s="277" t="n">
        <f aca="false">E80*I80</f>
        <v>12555</v>
      </c>
      <c r="AF80" s="277" t="n">
        <f aca="false">E80*J80</f>
        <v>27.945</v>
      </c>
      <c r="AG80" s="277" t="n">
        <f aca="false">E80*K80</f>
        <v>0</v>
      </c>
      <c r="AH80" s="277" t="n">
        <f aca="false">E80*L80</f>
        <v>0</v>
      </c>
      <c r="AI80" s="279" t="n">
        <f aca="false">E80*M80</f>
        <v>0</v>
      </c>
      <c r="AJ80" s="280" t="n">
        <f aca="false">$E80*N80</f>
        <v>7114.5</v>
      </c>
      <c r="AK80" s="277" t="n">
        <f aca="false">E80*O80</f>
        <v>2972.47725</v>
      </c>
      <c r="AL80" s="277" t="n">
        <f aca="false">E80*P80</f>
        <v>19816.515</v>
      </c>
      <c r="AM80" s="277" t="n">
        <f aca="false">E80*Q80</f>
        <v>5022</v>
      </c>
      <c r="AN80" s="277" t="n">
        <f aca="false">E80*R80</f>
        <v>5.589</v>
      </c>
      <c r="AO80" s="277" t="n">
        <f aca="false">E80*Z80</f>
        <v>0</v>
      </c>
      <c r="AP80" s="277" t="n">
        <f aca="false">E80*T80</f>
        <v>0</v>
      </c>
      <c r="AQ80" s="279" t="n">
        <f aca="false">E80*U80</f>
        <v>0</v>
      </c>
      <c r="AR80" s="3" t="n">
        <f aca="false">AC80-AJ80</f>
        <v>-7114.5</v>
      </c>
      <c r="AS80" s="3" t="n">
        <f aca="false">AD80-AK80-AL80</f>
        <v>17400.50775</v>
      </c>
      <c r="AT80" s="3" t="n">
        <f aca="false">AE80-AM80</f>
        <v>7533</v>
      </c>
      <c r="AU80" s="3" t="n">
        <f aca="false">AF80-AN80</f>
        <v>22.356</v>
      </c>
      <c r="AV80" s="3" t="n">
        <f aca="false">AG80-AO80</f>
        <v>0</v>
      </c>
      <c r="AW80" s="3" t="n">
        <f aca="false">AH80-AP80</f>
        <v>0</v>
      </c>
      <c r="AX80" s="238" t="n">
        <f aca="false">AI80-AQ80</f>
        <v>0</v>
      </c>
      <c r="AY80" s="5" t="n">
        <f aca="false">E80*$C$23</f>
        <v>309150</v>
      </c>
      <c r="AZ80" s="5" t="n">
        <f aca="false">E80*$C$24</f>
        <v>125550</v>
      </c>
      <c r="BA80" s="230" t="n">
        <f aca="false">E80*$C$25</f>
        <v>279.45</v>
      </c>
      <c r="BB80" s="24" t="n">
        <f aca="false">$K$42*AR80</f>
        <v>-0</v>
      </c>
      <c r="BC80" s="35" t="n">
        <f aca="false">$L$42*AR80</f>
        <v>-0</v>
      </c>
      <c r="BD80" s="2"/>
      <c r="BE80" s="2"/>
      <c r="BF80" s="2"/>
      <c r="BG80" s="2"/>
      <c r="BH80" s="2"/>
      <c r="BI80" s="2"/>
      <c r="BJ80" s="2"/>
      <c r="BK80" s="2"/>
      <c r="BL80" s="2"/>
      <c r="BM80" s="2"/>
    </row>
    <row r="81" customFormat="false" ht="12.75" hidden="false" customHeight="true" outlineLevel="0" collapsed="false">
      <c r="A81" s="1"/>
      <c r="B81" s="56"/>
      <c r="C81" s="25" t="str">
        <f aca="false">$C$43</f>
        <v>Program 2</v>
      </c>
      <c r="D81" s="281" t="n">
        <f aca="false">D72</f>
        <v>0.4</v>
      </c>
      <c r="E81" s="230" t="n">
        <f aca="false">D81*$D$33</f>
        <v>2000</v>
      </c>
      <c r="F81" s="235" t="n">
        <v>0</v>
      </c>
      <c r="G81" s="3" t="n">
        <f aca="false">$K$43*F81</f>
        <v>0</v>
      </c>
      <c r="H81" s="3" t="n">
        <f aca="false">IF($C$23&gt;$E$43,($C$23-$E$43)*$G$43,0)</f>
        <v>38.93</v>
      </c>
      <c r="I81" s="3" t="n">
        <f aca="false">IF($C$24&gt;$F$43,($C$24-$F$43)*$H$43,0)</f>
        <v>12.09</v>
      </c>
      <c r="J81" s="3" t="n">
        <f aca="false">$C$25*$I$43</f>
        <v>0.0207</v>
      </c>
      <c r="K81" s="3" t="n">
        <f aca="false">IF($E$43&gt;$C$23,($E$43-$C$23)*$C$8,0)</f>
        <v>0</v>
      </c>
      <c r="L81" s="3" t="n">
        <f aca="false">IF($F$43&gt;$C$24,($F$43-$C$24)*$C$9,0)</f>
        <v>0</v>
      </c>
      <c r="M81" s="231" t="n">
        <v>4.2</v>
      </c>
      <c r="N81" s="232" t="n">
        <f aca="false">$C$2+($E$43*$C$8)+($F$43*$C$9)</f>
        <v>5.27</v>
      </c>
      <c r="O81" s="3" t="n">
        <f aca="false">$C$11*G81+$C$11*P81</f>
        <v>2.201835</v>
      </c>
      <c r="P81" s="3" t="n">
        <f aca="false">IF($C$23&gt;$E$43,($C$23-$E$43)*$C$8,0)</f>
        <v>14.6789</v>
      </c>
      <c r="Q81" s="3" t="n">
        <f aca="false">IF($C$24&gt;$F$43,($C$24-$F$43)*$C$9,0)</f>
        <v>3.72</v>
      </c>
      <c r="R81" s="3" t="n">
        <f aca="false">$C$25*($C$10*10000/1000000)</f>
        <v>0.00414</v>
      </c>
      <c r="S81" s="3" t="n">
        <v>0</v>
      </c>
      <c r="T81" s="3" t="n">
        <v>0</v>
      </c>
      <c r="U81" s="3" t="n">
        <v>0</v>
      </c>
      <c r="V81" s="235" t="n">
        <f aca="false">F81-N81</f>
        <v>-5.27</v>
      </c>
      <c r="W81" s="3" t="n">
        <f aca="false">H81-P81-O81</f>
        <v>22.049265</v>
      </c>
      <c r="X81" s="3" t="n">
        <f aca="false">I81-Q81</f>
        <v>8.37</v>
      </c>
      <c r="Y81" s="3" t="n">
        <f aca="false">J81-R81</f>
        <v>0.01656</v>
      </c>
      <c r="Z81" s="3" t="n">
        <f aca="false">K81-S81</f>
        <v>0</v>
      </c>
      <c r="AA81" s="3" t="n">
        <f aca="false">L81-T81</f>
        <v>0</v>
      </c>
      <c r="AB81" s="3" t="n">
        <f aca="false">M81-U81</f>
        <v>4.2</v>
      </c>
      <c r="AC81" s="235" t="n">
        <f aca="false">$E81*F81</f>
        <v>0</v>
      </c>
      <c r="AD81" s="3" t="n">
        <f aca="false">E81*H81</f>
        <v>77860</v>
      </c>
      <c r="AE81" s="3" t="n">
        <f aca="false">E81*I81</f>
        <v>24180</v>
      </c>
      <c r="AF81" s="3" t="n">
        <f aca="false">E81*J81</f>
        <v>41.4</v>
      </c>
      <c r="AG81" s="3" t="n">
        <f aca="false">E81*K81</f>
        <v>0</v>
      </c>
      <c r="AH81" s="3" t="n">
        <f aca="false">E81*L81</f>
        <v>0</v>
      </c>
      <c r="AI81" s="231" t="n">
        <f aca="false">E81*M81</f>
        <v>8400</v>
      </c>
      <c r="AJ81" s="232" t="n">
        <f aca="false">$E81*N81</f>
        <v>10540</v>
      </c>
      <c r="AK81" s="3" t="n">
        <f aca="false">E81*O81</f>
        <v>4403.67</v>
      </c>
      <c r="AL81" s="3" t="n">
        <f aca="false">E81*P81</f>
        <v>29357.8</v>
      </c>
      <c r="AM81" s="3" t="n">
        <f aca="false">E81*Q81</f>
        <v>7440</v>
      </c>
      <c r="AN81" s="3" t="n">
        <f aca="false">E81*R81</f>
        <v>8.28</v>
      </c>
      <c r="AO81" s="3" t="n">
        <f aca="false">E81*Z81</f>
        <v>0</v>
      </c>
      <c r="AP81" s="3" t="n">
        <f aca="false">E81*T81</f>
        <v>0</v>
      </c>
      <c r="AQ81" s="231" t="n">
        <f aca="false">E81*U81</f>
        <v>0</v>
      </c>
      <c r="AR81" s="3" t="n">
        <f aca="false">AC81-AJ81</f>
        <v>-10540</v>
      </c>
      <c r="AS81" s="3" t="n">
        <f aca="false">AD81-AK81-AL81</f>
        <v>44098.53</v>
      </c>
      <c r="AT81" s="3" t="n">
        <f aca="false">AE81-AM81</f>
        <v>16740</v>
      </c>
      <c r="AU81" s="3" t="n">
        <f aca="false">AF81-AN81</f>
        <v>33.12</v>
      </c>
      <c r="AV81" s="3" t="n">
        <f aca="false">AG81-AO81</f>
        <v>0</v>
      </c>
      <c r="AW81" s="3" t="n">
        <f aca="false">AH81-AP81</f>
        <v>0</v>
      </c>
      <c r="AX81" s="238" t="n">
        <f aca="false">AI81-AQ81</f>
        <v>8400</v>
      </c>
      <c r="AY81" s="5" t="n">
        <f aca="false">E81*$C$23</f>
        <v>458000</v>
      </c>
      <c r="AZ81" s="5" t="n">
        <f aca="false">E81*$C$24</f>
        <v>186000</v>
      </c>
      <c r="BA81" s="230" t="n">
        <f aca="false">E81*$C$25</f>
        <v>414</v>
      </c>
      <c r="BB81" s="24" t="n">
        <f aca="false">$K$43*AR81</f>
        <v>-0</v>
      </c>
      <c r="BC81" s="35" t="n">
        <f aca="false">$L$43*AR81</f>
        <v>-0</v>
      </c>
      <c r="BD81" s="2"/>
      <c r="BE81" s="2"/>
      <c r="BF81" s="2"/>
      <c r="BG81" s="2"/>
      <c r="BH81" s="2"/>
      <c r="BI81" s="2"/>
      <c r="BJ81" s="2"/>
      <c r="BK81" s="2"/>
      <c r="BL81" s="2"/>
      <c r="BM81" s="2"/>
    </row>
    <row r="82" customFormat="false" ht="12.75" hidden="false" customHeight="true" outlineLevel="0" collapsed="false">
      <c r="A82" s="1"/>
      <c r="B82" s="56"/>
      <c r="C82" s="25" t="str">
        <f aca="false">$C$44</f>
        <v>Program 3</v>
      </c>
      <c r="D82" s="281" t="n">
        <f aca="false">D73</f>
        <v>0.17</v>
      </c>
      <c r="E82" s="230" t="n">
        <f aca="false">D82*$D$33</f>
        <v>850</v>
      </c>
      <c r="F82" s="235" t="n">
        <v>6</v>
      </c>
      <c r="G82" s="3" t="n">
        <f aca="false">$K$44*F82</f>
        <v>6</v>
      </c>
      <c r="H82" s="3" t="n">
        <f aca="false">IF($C$23&gt;$E$44,($C$23-$E$44)*$G$44,0)</f>
        <v>23.1</v>
      </c>
      <c r="I82" s="3" t="n">
        <f aca="false">IF($C$24&gt;$F$44,($C$24-$F$44)*$H$44,0)</f>
        <v>9.3</v>
      </c>
      <c r="J82" s="3" t="n">
        <f aca="false">$C$25*$I$44</f>
        <v>0.0207</v>
      </c>
      <c r="K82" s="3" t="n">
        <f aca="false">IF($E$44&gt;$C$23,($E$44-$C$23)*$C$8,0)</f>
        <v>0</v>
      </c>
      <c r="L82" s="3" t="n">
        <f aca="false">IF($F$44&gt;$C$24,($F$44-$C$24)*$C$9,0)</f>
        <v>0</v>
      </c>
      <c r="M82" s="231" t="n">
        <v>2.8</v>
      </c>
      <c r="N82" s="232" t="n">
        <f aca="false">$C$2+($E$44*$C$8)+($F$44*$C$9)</f>
        <v>10.0775</v>
      </c>
      <c r="O82" s="3" t="n">
        <f aca="false">$C$11*G82+$C$11*P82</f>
        <v>2.38071</v>
      </c>
      <c r="P82" s="3" t="n">
        <f aca="false">IF($C$23&gt;$E$44,($C$23-$E$44)*$C$8,0)</f>
        <v>9.8714</v>
      </c>
      <c r="Q82" s="3" t="n">
        <f aca="false">IF($C$24&gt;$F$44,($C$24-$F$44)*$C$9,0)</f>
        <v>3.72</v>
      </c>
      <c r="R82" s="3" t="n">
        <f aca="false">$C$25*($C$10*10000/1000000)</f>
        <v>0.00414</v>
      </c>
      <c r="S82" s="3" t="n">
        <v>0</v>
      </c>
      <c r="T82" s="3" t="n">
        <v>0</v>
      </c>
      <c r="U82" s="3" t="n">
        <v>0</v>
      </c>
      <c r="V82" s="235" t="n">
        <f aca="false">F82-N82</f>
        <v>-4.0775</v>
      </c>
      <c r="W82" s="3" t="n">
        <f aca="false">H82-P82-O82</f>
        <v>10.84789</v>
      </c>
      <c r="X82" s="3" t="n">
        <f aca="false">I82-Q82</f>
        <v>5.58</v>
      </c>
      <c r="Y82" s="3" t="n">
        <f aca="false">J82-R82</f>
        <v>0.01656</v>
      </c>
      <c r="Z82" s="3" t="n">
        <f aca="false">K82-S82</f>
        <v>0</v>
      </c>
      <c r="AA82" s="3" t="n">
        <f aca="false">L82-T82</f>
        <v>0</v>
      </c>
      <c r="AB82" s="3" t="n">
        <f aca="false">M82-U82</f>
        <v>2.8</v>
      </c>
      <c r="AC82" s="235" t="n">
        <f aca="false">$E82*F82</f>
        <v>5100</v>
      </c>
      <c r="AD82" s="3" t="n">
        <f aca="false">E82*H82</f>
        <v>19635</v>
      </c>
      <c r="AE82" s="3" t="n">
        <f aca="false">E82*I82</f>
        <v>7905</v>
      </c>
      <c r="AF82" s="3" t="n">
        <f aca="false">E82*J82</f>
        <v>17.595</v>
      </c>
      <c r="AG82" s="3" t="n">
        <f aca="false">E82*K82</f>
        <v>0</v>
      </c>
      <c r="AH82" s="3" t="n">
        <f aca="false">E82*L82</f>
        <v>0</v>
      </c>
      <c r="AI82" s="231" t="n">
        <f aca="false">E82*M82</f>
        <v>2380</v>
      </c>
      <c r="AJ82" s="232" t="n">
        <f aca="false">$E82*N82</f>
        <v>8565.875</v>
      </c>
      <c r="AK82" s="3" t="n">
        <f aca="false">E82*O82</f>
        <v>2023.6035</v>
      </c>
      <c r="AL82" s="3" t="n">
        <f aca="false">E82*P82</f>
        <v>8390.69</v>
      </c>
      <c r="AM82" s="3" t="n">
        <f aca="false">E82*Q82</f>
        <v>3162</v>
      </c>
      <c r="AN82" s="3" t="n">
        <f aca="false">E82*R82</f>
        <v>3.519</v>
      </c>
      <c r="AO82" s="3" t="n">
        <f aca="false">E82*Z82</f>
        <v>0</v>
      </c>
      <c r="AP82" s="3" t="n">
        <f aca="false">E82*T82</f>
        <v>0</v>
      </c>
      <c r="AQ82" s="231" t="n">
        <f aca="false">E82*U82</f>
        <v>0</v>
      </c>
      <c r="AR82" s="3" t="n">
        <f aca="false">AC82-AJ82</f>
        <v>-3465.875</v>
      </c>
      <c r="AS82" s="3" t="n">
        <f aca="false">AD82-AK82-AL82</f>
        <v>9220.7065</v>
      </c>
      <c r="AT82" s="3" t="n">
        <f aca="false">AE82-AM82</f>
        <v>4743</v>
      </c>
      <c r="AU82" s="3" t="n">
        <f aca="false">AF82-AN82</f>
        <v>14.076</v>
      </c>
      <c r="AV82" s="3" t="n">
        <f aca="false">AG82-AO82</f>
        <v>0</v>
      </c>
      <c r="AW82" s="3" t="n">
        <f aca="false">AH82-AP82</f>
        <v>0</v>
      </c>
      <c r="AX82" s="238" t="n">
        <f aca="false">AI82-AQ82</f>
        <v>2380</v>
      </c>
      <c r="AY82" s="5" t="n">
        <f aca="false">E82*$C$23</f>
        <v>194650</v>
      </c>
      <c r="AZ82" s="5" t="n">
        <f aca="false">E82*$C$24</f>
        <v>79050</v>
      </c>
      <c r="BA82" s="230" t="n">
        <f aca="false">E82*$C$25</f>
        <v>175.95</v>
      </c>
      <c r="BB82" s="24" t="n">
        <f aca="false">$K$44*AR82</f>
        <v>-3465.875</v>
      </c>
      <c r="BC82" s="35" t="n">
        <f aca="false">$L$44*AR82</f>
        <v>-0</v>
      </c>
      <c r="BD82" s="2"/>
      <c r="BE82" s="2"/>
      <c r="BF82" s="2"/>
      <c r="BG82" s="2"/>
      <c r="BH82" s="2"/>
      <c r="BI82" s="2"/>
      <c r="BJ82" s="2"/>
      <c r="BK82" s="2"/>
      <c r="BL82" s="2"/>
      <c r="BM82" s="2"/>
    </row>
    <row r="83" customFormat="false" ht="12.75" hidden="false" customHeight="true" outlineLevel="0" collapsed="false">
      <c r="A83" s="2"/>
      <c r="B83" s="56"/>
      <c r="C83" s="25" t="str">
        <f aca="false">$C$45</f>
        <v>Program 4</v>
      </c>
      <c r="D83" s="281" t="n">
        <f aca="false">D74</f>
        <v>0.1</v>
      </c>
      <c r="E83" s="230" t="n">
        <f aca="false">D83*$D$33</f>
        <v>500</v>
      </c>
      <c r="F83" s="235" t="n">
        <v>15</v>
      </c>
      <c r="G83" s="3" t="n">
        <f aca="false">$K$45*F83</f>
        <v>15</v>
      </c>
      <c r="H83" s="3" t="n">
        <f aca="false">IF($C$23&gt;$E$45,($C$23-$E$45)*$G$45,0)</f>
        <v>3.77</v>
      </c>
      <c r="I83" s="3" t="n">
        <f aca="false">IF($C$24&gt;$F$45,($C$24-$F$45)*$H$45,0)</f>
        <v>9.3</v>
      </c>
      <c r="J83" s="3" t="n">
        <f aca="false">$C$25*$I$45</f>
        <v>0.0207</v>
      </c>
      <c r="K83" s="3" t="n">
        <f aca="false">IF($E$45&gt;$C$23,($E$45-$C$23)*$C$8,0)</f>
        <v>0</v>
      </c>
      <c r="L83" s="3" t="n">
        <f aca="false">IF($F$45&gt;$C$24,($F$45-$C$24)*$C$9,0)</f>
        <v>0</v>
      </c>
      <c r="M83" s="231" t="n">
        <v>0</v>
      </c>
      <c r="N83" s="232" t="n">
        <f aca="false">$C$2+($E$45*$C$8)+($F$45*$C$9)</f>
        <v>18.09</v>
      </c>
      <c r="O83" s="3" t="n">
        <f aca="false">$C$11*G83+$C$11*P83</f>
        <v>2.528835</v>
      </c>
      <c r="P83" s="3" t="n">
        <f aca="false">IF($C$23&gt;$E$45,($C$23-$E$45)*$C$8,0)</f>
        <v>1.8589</v>
      </c>
      <c r="Q83" s="3" t="n">
        <f aca="false">IF($C$24&gt;$F$45,($C$24-$F$45)*$C$9,0)</f>
        <v>3.72</v>
      </c>
      <c r="R83" s="3" t="n">
        <f aca="false">$C$25*($C$10*10000/1000000)</f>
        <v>0.00414</v>
      </c>
      <c r="S83" s="3" t="n">
        <v>0</v>
      </c>
      <c r="T83" s="3" t="n">
        <v>0</v>
      </c>
      <c r="U83" s="3" t="n">
        <v>0</v>
      </c>
      <c r="V83" s="235" t="n">
        <f aca="false">F83-N83</f>
        <v>-3.09</v>
      </c>
      <c r="W83" s="3" t="n">
        <f aca="false">H83-P83-O83</f>
        <v>-0.617735</v>
      </c>
      <c r="X83" s="3" t="n">
        <f aca="false">I83-Q83</f>
        <v>5.58</v>
      </c>
      <c r="Y83" s="3" t="n">
        <f aca="false">J83-R83</f>
        <v>0.01656</v>
      </c>
      <c r="Z83" s="3" t="n">
        <f aca="false">K83-S83</f>
        <v>0</v>
      </c>
      <c r="AA83" s="3" t="n">
        <f aca="false">L83-T83</f>
        <v>0</v>
      </c>
      <c r="AB83" s="3" t="n">
        <f aca="false">M83-U83</f>
        <v>0</v>
      </c>
      <c r="AC83" s="235" t="n">
        <f aca="false">$E83*F83</f>
        <v>7500</v>
      </c>
      <c r="AD83" s="3" t="n">
        <f aca="false">E83*H83</f>
        <v>1885</v>
      </c>
      <c r="AE83" s="3" t="n">
        <f aca="false">E83*I83</f>
        <v>4650</v>
      </c>
      <c r="AF83" s="3" t="n">
        <f aca="false">E83*J83</f>
        <v>10.35</v>
      </c>
      <c r="AG83" s="3" t="n">
        <f aca="false">E83*K83</f>
        <v>0</v>
      </c>
      <c r="AH83" s="3" t="n">
        <f aca="false">E83*L83</f>
        <v>0</v>
      </c>
      <c r="AI83" s="231" t="n">
        <f aca="false">E83*M83</f>
        <v>0</v>
      </c>
      <c r="AJ83" s="232" t="n">
        <f aca="false">$E83*N83</f>
        <v>9045</v>
      </c>
      <c r="AK83" s="3" t="n">
        <f aca="false">E83*O83</f>
        <v>1264.4175</v>
      </c>
      <c r="AL83" s="3" t="n">
        <f aca="false">E83*P83</f>
        <v>929.45</v>
      </c>
      <c r="AM83" s="3" t="n">
        <f aca="false">E83*Q83</f>
        <v>1860</v>
      </c>
      <c r="AN83" s="3" t="n">
        <f aca="false">E83*R83</f>
        <v>2.07</v>
      </c>
      <c r="AO83" s="3" t="n">
        <f aca="false">E83*Z83</f>
        <v>0</v>
      </c>
      <c r="AP83" s="3" t="n">
        <f aca="false">E83*T83</f>
        <v>0</v>
      </c>
      <c r="AQ83" s="231" t="n">
        <f aca="false">E83*U83</f>
        <v>0</v>
      </c>
      <c r="AR83" s="3" t="n">
        <f aca="false">AC83-AJ83</f>
        <v>-1545</v>
      </c>
      <c r="AS83" s="3" t="n">
        <f aca="false">AD83-AK83-AL83</f>
        <v>-308.8675</v>
      </c>
      <c r="AT83" s="3" t="n">
        <f aca="false">AE83-AM83</f>
        <v>2790</v>
      </c>
      <c r="AU83" s="3" t="n">
        <f aca="false">AF83-AN83</f>
        <v>8.28</v>
      </c>
      <c r="AV83" s="3" t="n">
        <f aca="false">AG83-AO83</f>
        <v>0</v>
      </c>
      <c r="AW83" s="3" t="n">
        <f aca="false">AH83-AP83</f>
        <v>0</v>
      </c>
      <c r="AX83" s="238" t="n">
        <f aca="false">AI83-AQ83</f>
        <v>0</v>
      </c>
      <c r="AY83" s="5" t="n">
        <f aca="false">E83*$C$23</f>
        <v>114500</v>
      </c>
      <c r="AZ83" s="5" t="n">
        <f aca="false">E83*$C$24</f>
        <v>46500</v>
      </c>
      <c r="BA83" s="230" t="n">
        <f aca="false">E83*$C$25</f>
        <v>103.5</v>
      </c>
      <c r="BB83" s="24" t="n">
        <f aca="false">$K$45*AR83</f>
        <v>-1545</v>
      </c>
      <c r="BC83" s="35" t="n">
        <f aca="false">$L$45*AR83</f>
        <v>-0</v>
      </c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4" customFormat="false" ht="12.75" hidden="false" customHeight="true" outlineLevel="0" collapsed="false">
      <c r="A84" s="2"/>
      <c r="B84" s="56"/>
      <c r="C84" s="25" t="str">
        <f aca="false">$C$46</f>
        <v>Program 5</v>
      </c>
      <c r="D84" s="281" t="n">
        <f aca="false">D75</f>
        <v>0.05</v>
      </c>
      <c r="E84" s="230" t="n">
        <f aca="false">D84*$D$33</f>
        <v>250</v>
      </c>
      <c r="F84" s="235" t="n">
        <v>25</v>
      </c>
      <c r="G84" s="3" t="n">
        <f aca="false">$K$46*F84</f>
        <v>25</v>
      </c>
      <c r="H84" s="3" t="n">
        <f aca="false">IF($C$23&gt;$E$46,($C$23-$E$46)*$G$46,0)</f>
        <v>0</v>
      </c>
      <c r="I84" s="3" t="n">
        <f aca="false">IF($C$24&gt;$F$46,($C$24-$F$46)*$H$46,0)</f>
        <v>9.3</v>
      </c>
      <c r="J84" s="3" t="n">
        <f aca="false">$C$25*$I$46</f>
        <v>0.0207</v>
      </c>
      <c r="K84" s="3" t="n">
        <f aca="false">IF($E$46&gt;$C$23,($E$46-$C$23)*$C$8,0)</f>
        <v>14.1661</v>
      </c>
      <c r="L84" s="3" t="n">
        <f aca="false">IF($F$46&gt;$C$24,($F$46-$C$24)*$C$9,0)</f>
        <v>0</v>
      </c>
      <c r="M84" s="231" t="n">
        <v>0</v>
      </c>
      <c r="N84" s="232" t="n">
        <f aca="false">$C$2+($E$46*$C$8)+($F$46*$C$9)</f>
        <v>34.115</v>
      </c>
      <c r="O84" s="3" t="n">
        <f aca="false">$C$11*G84+$C$11*P84</f>
        <v>3.75</v>
      </c>
      <c r="P84" s="3" t="n">
        <f aca="false">IF($C$23&gt;$E$46,($C$23-$E$46)*$C$8,0)</f>
        <v>0</v>
      </c>
      <c r="Q84" s="3" t="n">
        <f aca="false">IF($C$24&gt;$F$46,($C$24-$F$46)*$C$9,0)</f>
        <v>3.72</v>
      </c>
      <c r="R84" s="3" t="n">
        <f aca="false">$C$25*($C$10*10000/1000000)</f>
        <v>0.00414</v>
      </c>
      <c r="S84" s="3" t="n">
        <v>0</v>
      </c>
      <c r="T84" s="3" t="n">
        <v>0</v>
      </c>
      <c r="U84" s="3" t="n">
        <v>0</v>
      </c>
      <c r="V84" s="235" t="n">
        <f aca="false">F84-N84</f>
        <v>-9.115</v>
      </c>
      <c r="W84" s="3" t="n">
        <f aca="false">H84-P84-O84</f>
        <v>-3.75</v>
      </c>
      <c r="X84" s="3" t="n">
        <f aca="false">I84-Q84</f>
        <v>5.58</v>
      </c>
      <c r="Y84" s="3" t="n">
        <f aca="false">J84-R84</f>
        <v>0.01656</v>
      </c>
      <c r="Z84" s="3" t="n">
        <f aca="false">K84-S84</f>
        <v>14.1661</v>
      </c>
      <c r="AA84" s="3" t="n">
        <f aca="false">L84-T84</f>
        <v>0</v>
      </c>
      <c r="AB84" s="3" t="n">
        <f aca="false">M84-U84</f>
        <v>0</v>
      </c>
      <c r="AC84" s="235" t="n">
        <f aca="false">$E84*F84</f>
        <v>6250</v>
      </c>
      <c r="AD84" s="3" t="n">
        <f aca="false">E84*H84</f>
        <v>0</v>
      </c>
      <c r="AE84" s="3" t="n">
        <f aca="false">E84*I84</f>
        <v>2325</v>
      </c>
      <c r="AF84" s="3" t="n">
        <f aca="false">E84*J84</f>
        <v>5.175</v>
      </c>
      <c r="AG84" s="3" t="n">
        <f aca="false">E84*K84</f>
        <v>3541.525</v>
      </c>
      <c r="AH84" s="3" t="n">
        <f aca="false">E84*L84</f>
        <v>0</v>
      </c>
      <c r="AI84" s="231" t="n">
        <f aca="false">E84*M84</f>
        <v>0</v>
      </c>
      <c r="AJ84" s="232" t="n">
        <f aca="false">$E84*N84</f>
        <v>8528.75</v>
      </c>
      <c r="AK84" s="3" t="n">
        <f aca="false">E84*O84</f>
        <v>937.5</v>
      </c>
      <c r="AL84" s="3" t="n">
        <f aca="false">E84*P84</f>
        <v>0</v>
      </c>
      <c r="AM84" s="3" t="n">
        <f aca="false">E84*Q84</f>
        <v>930</v>
      </c>
      <c r="AN84" s="3" t="n">
        <f aca="false">E84*R84</f>
        <v>1.035</v>
      </c>
      <c r="AO84" s="3" t="n">
        <f aca="false">E84*Z84</f>
        <v>3541.525</v>
      </c>
      <c r="AP84" s="3" t="n">
        <f aca="false">E84*T84</f>
        <v>0</v>
      </c>
      <c r="AQ84" s="231" t="n">
        <f aca="false">E84*U84</f>
        <v>0</v>
      </c>
      <c r="AR84" s="3" t="n">
        <f aca="false">AC84-AJ84</f>
        <v>-2278.75</v>
      </c>
      <c r="AS84" s="3" t="n">
        <f aca="false">AD84-AK84-AL84</f>
        <v>-937.5</v>
      </c>
      <c r="AT84" s="3" t="n">
        <f aca="false">AE84-AM84</f>
        <v>1395</v>
      </c>
      <c r="AU84" s="3" t="n">
        <f aca="false">AF84-AN84</f>
        <v>4.14</v>
      </c>
      <c r="AV84" s="3" t="n">
        <f aca="false">AG84-AO84</f>
        <v>0</v>
      </c>
      <c r="AW84" s="3" t="n">
        <f aca="false">AH84-AP84</f>
        <v>0</v>
      </c>
      <c r="AX84" s="238" t="n">
        <f aca="false">AI84-AQ84</f>
        <v>0</v>
      </c>
      <c r="AY84" s="5" t="n">
        <f aca="false">E84*$C$23</f>
        <v>57250</v>
      </c>
      <c r="AZ84" s="5" t="n">
        <f aca="false">E84*$C$24</f>
        <v>23250</v>
      </c>
      <c r="BA84" s="230" t="n">
        <f aca="false">E84*$C$25</f>
        <v>51.75</v>
      </c>
      <c r="BB84" s="24" t="n">
        <f aca="false">$K$46*AR84</f>
        <v>-2278.75</v>
      </c>
      <c r="BC84" s="35" t="n">
        <f aca="false">$L$46*AR84</f>
        <v>-0</v>
      </c>
      <c r="BD84" s="2"/>
      <c r="BE84" s="2"/>
      <c r="BF84" s="2"/>
      <c r="BG84" s="2"/>
      <c r="BH84" s="2"/>
      <c r="BI84" s="2"/>
      <c r="BJ84" s="2"/>
      <c r="BK84" s="2"/>
      <c r="BL84" s="2"/>
      <c r="BM84" s="2"/>
    </row>
    <row r="85" customFormat="false" ht="12.75" hidden="false" customHeight="true" outlineLevel="0" collapsed="false">
      <c r="A85" s="27"/>
      <c r="B85" s="56"/>
      <c r="C85" s="25" t="str">
        <f aca="false">$C$47</f>
        <v>Program 6</v>
      </c>
      <c r="D85" s="192" t="n">
        <f aca="false">D76</f>
        <v>0.01</v>
      </c>
      <c r="E85" s="230" t="n">
        <f aca="false">D85*$D$30</f>
        <v>150</v>
      </c>
      <c r="F85" s="3" t="n">
        <v>25</v>
      </c>
      <c r="G85" s="3" t="n">
        <f aca="false">$K$46*F85</f>
        <v>25</v>
      </c>
      <c r="H85" s="3" t="n">
        <f aca="false">IF($C$23&gt;$E$46,($C$23-$E$46)*$G$46,0)</f>
        <v>0</v>
      </c>
      <c r="I85" s="3" t="n">
        <f aca="false">IF($C$24&gt;$F$46,($C$24-$F$46)*$H$46,0)</f>
        <v>9.3</v>
      </c>
      <c r="J85" s="3" t="n">
        <f aca="false">$C$25*$I$46</f>
        <v>0.0207</v>
      </c>
      <c r="K85" s="3" t="n">
        <f aca="false">IF($E$46&gt;$C$23,($E$46-$C$23)*$C$8,0)</f>
        <v>14.1661</v>
      </c>
      <c r="L85" s="3" t="n">
        <f aca="false">IF($F$46&gt;$C$24,($F$46-$C$24)*$C$9,0)</f>
        <v>0</v>
      </c>
      <c r="M85" s="231" t="n">
        <v>0</v>
      </c>
      <c r="N85" s="232" t="n">
        <f aca="false">$C$2+($E$46*$C$8)+($F$46*$C$9)</f>
        <v>34.115</v>
      </c>
      <c r="O85" s="3" t="n">
        <f aca="false">$C$11*G85+$C$11*P85</f>
        <v>3.75</v>
      </c>
      <c r="P85" s="3" t="n">
        <f aca="false">IF($C$23&gt;$E$46,($C$23-$E$46)*$C$8,0)</f>
        <v>0</v>
      </c>
      <c r="Q85" s="3" t="n">
        <f aca="false">IF($C$24&gt;$F$46,($C$24-$F$46)*$C$9,0)</f>
        <v>3.72</v>
      </c>
      <c r="R85" s="3" t="n">
        <f aca="false">$C$25*($C$10*10000/1000000)</f>
        <v>0.00414</v>
      </c>
      <c r="S85" s="3" t="n">
        <v>0</v>
      </c>
      <c r="T85" s="3" t="n">
        <v>0</v>
      </c>
      <c r="U85" s="3" t="n">
        <v>0</v>
      </c>
      <c r="V85" s="235" t="n">
        <f aca="false">F85-N85</f>
        <v>-9.115</v>
      </c>
      <c r="W85" s="3" t="n">
        <f aca="false">H85-P85-O85</f>
        <v>-3.75</v>
      </c>
      <c r="X85" s="3" t="n">
        <f aca="false">I85-Q85</f>
        <v>5.58</v>
      </c>
      <c r="Y85" s="3" t="n">
        <f aca="false">J85-R85</f>
        <v>0.01656</v>
      </c>
      <c r="Z85" s="3" t="n">
        <f aca="false">K85-S85</f>
        <v>14.1661</v>
      </c>
      <c r="AA85" s="3" t="n">
        <f aca="false">L85-T85</f>
        <v>0</v>
      </c>
      <c r="AB85" s="3" t="n">
        <f aca="false">M85-U85</f>
        <v>0</v>
      </c>
      <c r="AC85" s="235" t="n">
        <f aca="false">$E85*F85</f>
        <v>3750</v>
      </c>
      <c r="AD85" s="3" t="n">
        <f aca="false">E85*H85</f>
        <v>0</v>
      </c>
      <c r="AE85" s="3" t="n">
        <f aca="false">E85*I85</f>
        <v>1395</v>
      </c>
      <c r="AF85" s="3" t="n">
        <f aca="false">E85*J85</f>
        <v>3.105</v>
      </c>
      <c r="AG85" s="3" t="n">
        <f aca="false">E85*K85</f>
        <v>2124.915</v>
      </c>
      <c r="AH85" s="3" t="n">
        <f aca="false">E85*L85</f>
        <v>0</v>
      </c>
      <c r="AI85" s="3" t="n">
        <f aca="false">E85*M85</f>
        <v>0</v>
      </c>
      <c r="AJ85" s="232" t="n">
        <f aca="false">$E85*N85</f>
        <v>5117.25</v>
      </c>
      <c r="AK85" s="3" t="n">
        <f aca="false">E85*O85</f>
        <v>562.5</v>
      </c>
      <c r="AL85" s="3" t="n">
        <f aca="false">E85*P85</f>
        <v>0</v>
      </c>
      <c r="AM85" s="3" t="n">
        <f aca="false">E85*Q85</f>
        <v>558</v>
      </c>
      <c r="AN85" s="3" t="n">
        <f aca="false">E85*R85</f>
        <v>0.621</v>
      </c>
      <c r="AO85" s="3" t="n">
        <f aca="false">E85*Z85</f>
        <v>2124.915</v>
      </c>
      <c r="AP85" s="3" t="n">
        <f aca="false">E85*T85</f>
        <v>0</v>
      </c>
      <c r="AQ85" s="231" t="n">
        <f aca="false">E85*U85</f>
        <v>0</v>
      </c>
      <c r="AR85" s="3" t="n">
        <f aca="false">AC85-AJ85</f>
        <v>-1367.25</v>
      </c>
      <c r="AS85" s="3" t="n">
        <f aca="false">AD85-AK85-AL85</f>
        <v>-562.5</v>
      </c>
      <c r="AT85" s="3" t="n">
        <f aca="false">AE85-AM85</f>
        <v>837</v>
      </c>
      <c r="AU85" s="3" t="n">
        <f aca="false">AF85-AN85</f>
        <v>2.484</v>
      </c>
      <c r="AV85" s="3" t="n">
        <f aca="false">AG85-AO85</f>
        <v>0</v>
      </c>
      <c r="AW85" s="3" t="n">
        <f aca="false">AH85-AP85</f>
        <v>0</v>
      </c>
      <c r="AX85" s="238" t="n">
        <f aca="false">AI85-AQ85</f>
        <v>0</v>
      </c>
      <c r="AY85" s="5" t="n">
        <f aca="false">E85*$C$23</f>
        <v>34350</v>
      </c>
      <c r="AZ85" s="5" t="n">
        <f aca="false">E85*$C$24</f>
        <v>13950</v>
      </c>
      <c r="BA85" s="230" t="n">
        <f aca="false">E85*$C$25</f>
        <v>31.05</v>
      </c>
      <c r="BB85" s="24" t="n">
        <f aca="false">$K$46*AR85</f>
        <v>-1367.25</v>
      </c>
      <c r="BC85" s="35" t="n">
        <f aca="false">$L$46*AR85</f>
        <v>-0</v>
      </c>
      <c r="BD85" s="2"/>
      <c r="BE85" s="2"/>
      <c r="BF85" s="2"/>
      <c r="BG85" s="2"/>
      <c r="BH85" s="2"/>
      <c r="BI85" s="2"/>
      <c r="BJ85" s="2"/>
      <c r="BK85" s="2"/>
      <c r="BL85" s="2"/>
      <c r="BM85" s="2"/>
    </row>
    <row r="86" customFormat="false" ht="12.75" hidden="false" customHeight="true" outlineLevel="0" collapsed="false">
      <c r="A86" s="2"/>
      <c r="B86" s="30"/>
      <c r="C86" s="32" t="n">
        <f aca="false">$C$48</f>
        <v>0</v>
      </c>
      <c r="D86" s="287" t="n">
        <f aca="false">D77</f>
        <v>0</v>
      </c>
      <c r="E86" s="283" t="n">
        <f aca="false">D86*$D$33</f>
        <v>0</v>
      </c>
      <c r="F86" s="284" t="n">
        <v>35</v>
      </c>
      <c r="G86" s="3" t="n">
        <f aca="false">$K$48*F86</f>
        <v>35</v>
      </c>
      <c r="H86" s="244" t="n">
        <f aca="false">IF($C$23&gt;$E$48,($C$23-$E$48)*$G$48,0)</f>
        <v>0</v>
      </c>
      <c r="I86" s="244" t="n">
        <f aca="false">IF($C$24&gt;$F$48,($C$24-$F$48)*$H$48,0)</f>
        <v>0</v>
      </c>
      <c r="J86" s="244" t="n">
        <f aca="false">$C$25*$I$48</f>
        <v>0</v>
      </c>
      <c r="K86" s="244" t="n">
        <f aca="false">IF($E$48&gt;$C$23,($E$48-$C$23)*$C$8,0)</f>
        <v>0</v>
      </c>
      <c r="L86" s="244" t="n">
        <f aca="false">IF($F$48&gt;$C$24,($F$48-$C$24)*$C$9,0)</f>
        <v>0</v>
      </c>
      <c r="M86" s="246" t="n">
        <v>0</v>
      </c>
      <c r="N86" s="232" t="n">
        <f aca="false">$C$2+($E$48*$C$8)+($F$48*$C$9)</f>
        <v>5.27</v>
      </c>
      <c r="O86" s="3" t="n">
        <f aca="false">$C$11*G86+$C$11*P86</f>
        <v>7.451835</v>
      </c>
      <c r="P86" s="244" t="n">
        <f aca="false">IF($C$23&gt;$E$48,($C$23-$E$48)*$C$8,0)</f>
        <v>14.6789</v>
      </c>
      <c r="Q86" s="244" t="n">
        <f aca="false">IF($C$24&gt;$F$48,($C$24-$F$48)*$C$9,0)</f>
        <v>3.72</v>
      </c>
      <c r="R86" s="244" t="n">
        <f aca="false">$C$25*($C$10*10000/1000000)</f>
        <v>0.00414</v>
      </c>
      <c r="S86" s="244" t="n">
        <v>0</v>
      </c>
      <c r="T86" s="244" t="n">
        <v>0</v>
      </c>
      <c r="U86" s="244" t="n">
        <v>0</v>
      </c>
      <c r="V86" s="284" t="n">
        <f aca="false">F86-N86</f>
        <v>29.73</v>
      </c>
      <c r="W86" s="244" t="n">
        <f aca="false">H86-P86-O86</f>
        <v>-22.130735</v>
      </c>
      <c r="X86" s="244" t="n">
        <f aca="false">I86-Q86</f>
        <v>-3.72</v>
      </c>
      <c r="Y86" s="244" t="n">
        <f aca="false">J86-R86</f>
        <v>-0.00414</v>
      </c>
      <c r="Z86" s="244" t="n">
        <f aca="false">K86-S86</f>
        <v>0</v>
      </c>
      <c r="AA86" s="244" t="n">
        <f aca="false">L86-T86</f>
        <v>0</v>
      </c>
      <c r="AB86" s="244" t="n">
        <f aca="false">M86-U86</f>
        <v>0</v>
      </c>
      <c r="AC86" s="284" t="n">
        <f aca="false">$E86*F86</f>
        <v>0</v>
      </c>
      <c r="AD86" s="244" t="n">
        <f aca="false">E86*H86</f>
        <v>0</v>
      </c>
      <c r="AE86" s="244" t="n">
        <f aca="false">E86*I86</f>
        <v>0</v>
      </c>
      <c r="AF86" s="244" t="n">
        <f aca="false">E86*J86</f>
        <v>0</v>
      </c>
      <c r="AG86" s="244" t="n">
        <f aca="false">E86*K86</f>
        <v>0</v>
      </c>
      <c r="AH86" s="244" t="n">
        <f aca="false">E86*L86</f>
        <v>0</v>
      </c>
      <c r="AI86" s="246" t="n">
        <f aca="false">E86*M86</f>
        <v>0</v>
      </c>
      <c r="AJ86" s="245" t="n">
        <f aca="false">$E86*N86</f>
        <v>0</v>
      </c>
      <c r="AK86" s="244" t="n">
        <f aca="false">E86*O86</f>
        <v>0</v>
      </c>
      <c r="AL86" s="244" t="n">
        <f aca="false">E86*P86</f>
        <v>0</v>
      </c>
      <c r="AM86" s="244" t="n">
        <f aca="false">E86*Q86</f>
        <v>0</v>
      </c>
      <c r="AN86" s="244" t="n">
        <f aca="false">E86*R86</f>
        <v>0</v>
      </c>
      <c r="AO86" s="244" t="n">
        <f aca="false">E86*Z86</f>
        <v>0</v>
      </c>
      <c r="AP86" s="244" t="n">
        <f aca="false">E86*T86</f>
        <v>0</v>
      </c>
      <c r="AQ86" s="246" t="n">
        <f aca="false">E86*U86</f>
        <v>0</v>
      </c>
      <c r="AR86" s="3" t="n">
        <f aca="false">AC86-AJ86</f>
        <v>0</v>
      </c>
      <c r="AS86" s="3" t="n">
        <f aca="false">AD86-AK86-AL86</f>
        <v>0</v>
      </c>
      <c r="AT86" s="3" t="n">
        <f aca="false">AE86-AM86</f>
        <v>0</v>
      </c>
      <c r="AU86" s="3" t="n">
        <f aca="false">AF86-AN86</f>
        <v>0</v>
      </c>
      <c r="AV86" s="3" t="n">
        <f aca="false">AG86-AO86</f>
        <v>0</v>
      </c>
      <c r="AW86" s="3" t="n">
        <f aca="false">AH86-AP86</f>
        <v>0</v>
      </c>
      <c r="AX86" s="238" t="n">
        <f aca="false">AI86-AQ86</f>
        <v>0</v>
      </c>
      <c r="AY86" s="72" t="n">
        <f aca="false">E86*$C$23</f>
        <v>0</v>
      </c>
      <c r="AZ86" s="72" t="n">
        <f aca="false">E86*$C$24</f>
        <v>0</v>
      </c>
      <c r="BA86" s="283" t="n">
        <f aca="false">E86*$C$25</f>
        <v>0</v>
      </c>
      <c r="BB86" s="24" t="n">
        <f aca="false">$K$48*AR86</f>
        <v>0</v>
      </c>
      <c r="BC86" s="35" t="n">
        <f aca="false">$L$48*AR86</f>
        <v>0</v>
      </c>
      <c r="BD86" s="2"/>
      <c r="BE86" s="2"/>
      <c r="BF86" s="2"/>
      <c r="BG86" s="2"/>
      <c r="BH86" s="2"/>
      <c r="BI86" s="2"/>
      <c r="BJ86" s="2"/>
      <c r="BK86" s="2"/>
      <c r="BL86" s="2"/>
      <c r="BM86" s="2"/>
    </row>
    <row r="87" customFormat="false" ht="12.75" hidden="false" customHeight="true" outlineLevel="0" collapsed="false">
      <c r="A87" s="2"/>
      <c r="B87" s="247"/>
      <c r="C87" s="248" t="s">
        <v>171</v>
      </c>
      <c r="D87" s="249"/>
      <c r="E87" s="250"/>
      <c r="F87" s="251" t="n">
        <f aca="false">(($E80*F80)+($E81*F81)+($E82*F82)+($E83*F83)+($E84*F84)+($E86*F86))/($E88)</f>
        <v>3.69607843137255</v>
      </c>
      <c r="G87" s="251" t="n">
        <f aca="false">(($E80*G80)+($E81*G81)+($E82*G82)+($E83*G83)+($E84*G84)+($E86*G86))/($E88)</f>
        <v>3.69607843137255</v>
      </c>
      <c r="H87" s="251" t="n">
        <f aca="false">(($E80*H80)+($E81*H81)+($E82*H82)+($E83*H83)+($E84*H84)+($E86*H86))/($E88)</f>
        <v>27.366568627451</v>
      </c>
      <c r="I87" s="251" t="n">
        <f aca="false">(($E80*I80)+($E81*I81)+($E82*I82)+($E83*I83)+($E84*I84)+($E86*I86))/($E88)</f>
        <v>10.1205882352941</v>
      </c>
      <c r="J87" s="251" t="n">
        <f aca="false">(($E80*J80)+($E81*J81)+($E82*J82)+($E83*J83)+($E84*J84)+($E86*J86))/($E88)</f>
        <v>0.0200911764705882</v>
      </c>
      <c r="K87" s="251" t="n">
        <f aca="false">(($E80*K80)+($E81*K81)+($E82*K82)+($E83*K83)+($E84*K84)+($E86*K86))/($E88)</f>
        <v>0.694416666666667</v>
      </c>
      <c r="L87" s="251" t="n">
        <f aca="false">(($E80*L80)+($E81*L81)+($E82*L82)+($E83*L83)+($E84*L84)+($E86*L86))/($E88)</f>
        <v>0</v>
      </c>
      <c r="M87" s="251" t="n">
        <f aca="false">(($E80*M80)+($E81*M81)+($E82*M82)+($E83*M83)+($E84*M84)+($E86*M86))/($E88)</f>
        <v>2.11372549019608</v>
      </c>
      <c r="N87" s="252" t="n">
        <f aca="false">(($E80*N80)+($E81*N81)+($E82*N82)+($E83*N83)+($E84*N84)+($E86*N86))/($E88)</f>
        <v>8.58708333333333</v>
      </c>
      <c r="O87" s="251" t="n">
        <f aca="false">(($E80*O80)+($E81*O81)+($E82*O82)+($E83*O83)+($E84*O84)+($E86*O86))/($E88)</f>
        <v>2.27483691176471</v>
      </c>
      <c r="P87" s="251" t="n">
        <f aca="false">(($E80*P80)+($E81*P81)+($E82*P82)+($E83*P83)+($E84*P84)+($E86*P86))/($E88)</f>
        <v>11.4695009803922</v>
      </c>
      <c r="Q87" s="251" t="n">
        <f aca="false">(($E80*Q80)+($E81*Q81)+($E82*Q82)+($E83*Q83)+($E84*Q84)+($E86*Q86))/($E88)</f>
        <v>3.61058823529412</v>
      </c>
      <c r="R87" s="251" t="n">
        <f aca="false">(($E80*R80)+($E81*R81)+($E82*R82)+($E83*R83)+($E84*R84)+($E86*R86))/($E88)</f>
        <v>0.00401823529411765</v>
      </c>
      <c r="S87" s="251" t="n">
        <f aca="false">(($E80*S80)+($E81*S81)+($E82*S82)+($E83*S83)+($E84*S84)+($E86*S86))/($E88)</f>
        <v>0</v>
      </c>
      <c r="T87" s="251" t="n">
        <f aca="false">(($E80*T80)+($E81*T81)+($E82*T82)+($E83*T83)+($E84*T84)+($E86*T86))/($E88)</f>
        <v>0</v>
      </c>
      <c r="U87" s="251" t="n">
        <f aca="false">(($E80*U80)+($E81*U81)+($E82*U82)+($E83*U83)+($E84*U84)+($E86*U86))/($E88)</f>
        <v>0</v>
      </c>
      <c r="V87" s="253" t="n">
        <f aca="false">(($E80*V80)+($E81*V81)+($E82*V82)+($E83*V83)+($E84*V84)+($E86*V86))/($E88)</f>
        <v>-4.89100490196078</v>
      </c>
      <c r="W87" s="251" t="n">
        <f aca="false">(($E80*W80)+($E81*W81)+($E82*W82)+($E83*W83)+($E84*W84)+($E86*W86))/($E88)</f>
        <v>13.6222307352941</v>
      </c>
      <c r="X87" s="251" t="n">
        <f aca="false">(($E80*X80)+($E81*X81)+($E82*X82)+($E83*X83)+($E84*X84)+($E86*X86))/($E88)</f>
        <v>6.51</v>
      </c>
      <c r="Y87" s="251" t="n">
        <f aca="false">(($E80*Y80)+($E81*Y81)+($E82*Y82)+($E83*Y83)+($E84*Y84)+($E86*Y86))/($E88)</f>
        <v>0.0160729411764706</v>
      </c>
      <c r="Z87" s="251" t="n">
        <f aca="false">(($E80*Z80)+($E81*Z81)+($E82*Z82)+($E83*Z83)+($E84*Z84)+($E86*Z86))/($E88)</f>
        <v>0.694416666666667</v>
      </c>
      <c r="AA87" s="251" t="n">
        <f aca="false">(($E80*AA80)+($E81*AA81)+($E82*AA82)+($E83*AA83)+($E84*AA84)+($E86*AA86))/($E88)</f>
        <v>0</v>
      </c>
      <c r="AB87" s="251" t="n">
        <f aca="false">(($E80*AB80)+($E81*AB81)+($E82*AB82)+($E83*AB83)+($E84*AB84)+($E86*AB86))/($E88)</f>
        <v>2.11372549019608</v>
      </c>
      <c r="AC87" s="253" t="n">
        <f aca="false">SUM(AC80:AC86)/$E88</f>
        <v>4.43137254901961</v>
      </c>
      <c r="AD87" s="251" t="n">
        <f aca="false">SUM(AD80:AD86)/$E88</f>
        <v>27.366568627451</v>
      </c>
      <c r="AE87" s="251" t="n">
        <f aca="false">SUM(AE80:AE86)/$E88</f>
        <v>10.3941176470588</v>
      </c>
      <c r="AF87" s="251" t="n">
        <f aca="false">SUM(AF80:AF86)/$E88</f>
        <v>0.0207</v>
      </c>
      <c r="AG87" s="251" t="n">
        <f aca="false">SUM(AG80:AG86)/$E88</f>
        <v>1.11106666666667</v>
      </c>
      <c r="AH87" s="251" t="n">
        <f aca="false">SUM(AH80:AH86)/$E88</f>
        <v>0</v>
      </c>
      <c r="AI87" s="251" t="n">
        <f aca="false">SUM(AI80:AI86)/$E88</f>
        <v>2.11372549019608</v>
      </c>
      <c r="AJ87" s="252" t="n">
        <f aca="false">SUM(AJ80:AJ86)/$E88</f>
        <v>9.59046568627451</v>
      </c>
      <c r="AK87" s="251" t="n">
        <f aca="false">SUM(AK80:AK86)/$E88</f>
        <v>2.38513102941176</v>
      </c>
      <c r="AL87" s="251" t="n">
        <f aca="false">SUM(AL80:AL86)/$E88</f>
        <v>11.4695009803922</v>
      </c>
      <c r="AM87" s="251" t="n">
        <f aca="false">SUM(AM80:AM86)/$E88</f>
        <v>3.72</v>
      </c>
      <c r="AN87" s="251" t="n">
        <f aca="false">SUM(AN80:AN86)/$E88</f>
        <v>0.00414</v>
      </c>
      <c r="AO87" s="251" t="n">
        <f aca="false">SUM(AO80:AO86)/$E88</f>
        <v>1.11106666666667</v>
      </c>
      <c r="AP87" s="251" t="n">
        <f aca="false">SUM(AP80:AP86)/$E88</f>
        <v>0</v>
      </c>
      <c r="AQ87" s="251" t="n">
        <f aca="false">SUM(AQ80:AQ86)/$E88</f>
        <v>0</v>
      </c>
      <c r="AR87" s="252" t="n">
        <f aca="false">SUM(AR80:AR86)/$E88</f>
        <v>-5.1590931372549</v>
      </c>
      <c r="AS87" s="251" t="n">
        <f aca="false">SUM(AS80:AS86)/$E88</f>
        <v>13.5119366176471</v>
      </c>
      <c r="AT87" s="251" t="n">
        <f aca="false">SUM(AT80:AT86)/$E88</f>
        <v>6.67411764705882</v>
      </c>
      <c r="AU87" s="251" t="n">
        <f aca="false">SUM(AU80:AU86)/$E88</f>
        <v>0.01656</v>
      </c>
      <c r="AV87" s="251" t="n">
        <f aca="false">SUM(AV80:AV86)/$E88</f>
        <v>0</v>
      </c>
      <c r="AW87" s="251" t="n">
        <f aca="false">SUM(AW80:AW86)/$E88</f>
        <v>0</v>
      </c>
      <c r="AX87" s="251" t="n">
        <f aca="false">SUM(AX80:AX86)/$E88</f>
        <v>2.11372549019608</v>
      </c>
      <c r="AY87" s="254" t="n">
        <f aca="false">SUM(AY80:AY86)/$E88</f>
        <v>229</v>
      </c>
      <c r="AZ87" s="255" t="n">
        <f aca="false">SUM(AZ80:AZ86)/$E88</f>
        <v>93</v>
      </c>
      <c r="BA87" s="256" t="n">
        <f aca="false">SUM(BA80:BA86)/$E88</f>
        <v>0.207</v>
      </c>
      <c r="BB87" s="253" t="n">
        <f aca="false">SUM(BB80:BB86)/$E88</f>
        <v>-1.69742647058824</v>
      </c>
      <c r="BC87" s="257" t="n">
        <f aca="false">SUM(BC80:BC86)/$E88</f>
        <v>0</v>
      </c>
      <c r="BD87" s="2"/>
      <c r="BE87" s="2"/>
      <c r="BF87" s="2"/>
      <c r="BG87" s="2"/>
      <c r="BH87" s="2"/>
      <c r="BI87" s="2"/>
      <c r="BJ87" s="2"/>
      <c r="BK87" s="2"/>
      <c r="BL87" s="2"/>
      <c r="BM87" s="2"/>
    </row>
    <row r="88" customFormat="false" ht="12.75" hidden="false" customHeight="true" outlineLevel="0" collapsed="false">
      <c r="A88" s="2"/>
      <c r="B88" s="258"/>
      <c r="C88" s="285" t="s">
        <v>73</v>
      </c>
      <c r="D88" s="260" t="n">
        <f aca="false">SUM(D80:D86)</f>
        <v>1</v>
      </c>
      <c r="E88" s="261" t="n">
        <f aca="false">SUM(E80:E86)</f>
        <v>5100</v>
      </c>
      <c r="F88" s="262"/>
      <c r="G88" s="262"/>
      <c r="H88" s="262"/>
      <c r="I88" s="262"/>
      <c r="J88" s="262"/>
      <c r="K88" s="262"/>
      <c r="L88" s="262"/>
      <c r="M88" s="263"/>
      <c r="N88" s="264"/>
      <c r="O88" s="262"/>
      <c r="P88" s="262"/>
      <c r="Q88" s="262"/>
      <c r="R88" s="262"/>
      <c r="S88" s="262"/>
      <c r="T88" s="262"/>
      <c r="U88" s="262"/>
      <c r="V88" s="265"/>
      <c r="W88" s="262"/>
      <c r="X88" s="262"/>
      <c r="Y88" s="262"/>
      <c r="Z88" s="262"/>
      <c r="AA88" s="262"/>
      <c r="AB88" s="262"/>
      <c r="AC88" s="265" t="n">
        <f aca="false">SUM(AC80:AC86)</f>
        <v>22600</v>
      </c>
      <c r="AD88" s="262" t="n">
        <f aca="false">SUM(AD80:AD86)</f>
        <v>139569.5</v>
      </c>
      <c r="AE88" s="262" t="n">
        <f aca="false">SUM(AE80:AE86)</f>
        <v>53010</v>
      </c>
      <c r="AF88" s="262" t="n">
        <f aca="false">SUM(AF80:AF86)</f>
        <v>105.57</v>
      </c>
      <c r="AG88" s="262" t="n">
        <f aca="false">SUM(AG80:AG86)</f>
        <v>5666.44</v>
      </c>
      <c r="AH88" s="262" t="n">
        <f aca="false">SUM(AH80:AH86)</f>
        <v>0</v>
      </c>
      <c r="AI88" s="262" t="n">
        <f aca="false">SUM(AI80:AI86)</f>
        <v>10780</v>
      </c>
      <c r="AJ88" s="264" t="n">
        <f aca="false">SUM(AJ80:AJ86)</f>
        <v>48911.375</v>
      </c>
      <c r="AK88" s="262" t="n">
        <f aca="false">SUM(AK80:AK86)</f>
        <v>12164.16825</v>
      </c>
      <c r="AL88" s="262" t="n">
        <f aca="false">SUM(AL80:AL86)</f>
        <v>58494.455</v>
      </c>
      <c r="AM88" s="262" t="n">
        <f aca="false">SUM(AM80:AM86)</f>
        <v>18972</v>
      </c>
      <c r="AN88" s="262" t="n">
        <f aca="false">SUM(AN80:AN86)</f>
        <v>21.114</v>
      </c>
      <c r="AO88" s="262" t="n">
        <f aca="false">SUM(AO80:AO86)</f>
        <v>5666.44</v>
      </c>
      <c r="AP88" s="262" t="n">
        <f aca="false">SUM(AP80:AP86)</f>
        <v>0</v>
      </c>
      <c r="AQ88" s="263" t="n">
        <f aca="false">SUM(AQ80:AQ86)</f>
        <v>0</v>
      </c>
      <c r="AR88" s="264" t="n">
        <f aca="false">SUM(AR80:AR86)</f>
        <v>-26311.375</v>
      </c>
      <c r="AS88" s="262" t="n">
        <f aca="false">SUM(AS80:AS86)</f>
        <v>68910.87675</v>
      </c>
      <c r="AT88" s="262" t="n">
        <f aca="false">SUM(AT80:AT86)</f>
        <v>34038</v>
      </c>
      <c r="AU88" s="262" t="n">
        <f aca="false">SUM(AU80:AU86)</f>
        <v>84.456</v>
      </c>
      <c r="AV88" s="262" t="n">
        <f aca="false">SUM(AV80:AV86)</f>
        <v>0</v>
      </c>
      <c r="AW88" s="262" t="n">
        <f aca="false">SUM(AW80:AW86)</f>
        <v>0</v>
      </c>
      <c r="AX88" s="270" t="n">
        <f aca="false">SUM(AX80:AX86)</f>
        <v>10780</v>
      </c>
      <c r="AY88" s="271" t="n">
        <f aca="false">SUM(AY80:AY86)</f>
        <v>1167900</v>
      </c>
      <c r="AZ88" s="272" t="n">
        <f aca="false">SUM(AZ80:AZ86)</f>
        <v>474300</v>
      </c>
      <c r="BA88" s="261" t="n">
        <f aca="false">SUM(BA80:BA86)</f>
        <v>1055.7</v>
      </c>
      <c r="BB88" s="273" t="n">
        <f aca="false">SUM(BB80:BB86)</f>
        <v>-8656.875</v>
      </c>
      <c r="BC88" s="274" t="n">
        <f aca="false">SUM(BC80:BC86)</f>
        <v>0</v>
      </c>
      <c r="BD88" s="2"/>
      <c r="BE88" s="2"/>
      <c r="BF88" s="2"/>
      <c r="BG88" s="2"/>
      <c r="BH88" s="2"/>
      <c r="BI88" s="2"/>
      <c r="BJ88" s="2"/>
      <c r="BK88" s="2"/>
      <c r="BL88" s="2"/>
      <c r="BM88" s="2"/>
    </row>
    <row r="89" customFormat="false" ht="12.75" hidden="false" customHeight="true" outlineLevel="0" collapsed="false">
      <c r="A89" s="2"/>
      <c r="B89" s="138" t="str">
        <f aca="false">B34</f>
        <v>Brand 5</v>
      </c>
      <c r="C89" s="275" t="str">
        <f aca="false">$C$42</f>
        <v>Program 1</v>
      </c>
      <c r="D89" s="286" t="n">
        <f aca="false">D80</f>
        <v>0.27</v>
      </c>
      <c r="E89" s="230" t="n">
        <f aca="false">D89*$D$34</f>
        <v>1350</v>
      </c>
      <c r="F89" s="278" t="n">
        <v>0</v>
      </c>
      <c r="G89" s="3" t="n">
        <f aca="false">$K$42*F89</f>
        <v>0</v>
      </c>
      <c r="H89" s="3" t="n">
        <f aca="false">IF($C$23&gt;$E$42,($C$23-$E$42)*$G$42,0)</f>
        <v>29.77</v>
      </c>
      <c r="I89" s="3" t="n">
        <f aca="false">IF($C$24&gt;$F$42,($C$24-$F$42)*$H$42,0)</f>
        <v>9.3</v>
      </c>
      <c r="J89" s="3" t="n">
        <f aca="false">$C$25*$I$42</f>
        <v>0.0207</v>
      </c>
      <c r="K89" s="3" t="n">
        <f aca="false">IF($E$42&gt;$C$23,($E$42-$C$23)*$C$8,0)</f>
        <v>0</v>
      </c>
      <c r="L89" s="3" t="n">
        <f aca="false">IF($F$42&gt;$C$24,($F$42-$C$24)*$C$9,0)</f>
        <v>0</v>
      </c>
      <c r="M89" s="231" t="n">
        <v>0</v>
      </c>
      <c r="N89" s="232" t="n">
        <f aca="false">$C$2+($E$42*$C$8)+($F$42*$C$9)</f>
        <v>5.27</v>
      </c>
      <c r="O89" s="3" t="n">
        <f aca="false">$C$11*G89+$C$11*P89</f>
        <v>2.201835</v>
      </c>
      <c r="P89" s="3" t="n">
        <f aca="false">IF($C$23&gt;$E$42,($C$23-$E$42)*$C$8,0)</f>
        <v>14.6789</v>
      </c>
      <c r="Q89" s="3" t="n">
        <f aca="false">IF($C$24&gt;$F$42,($C$24-$F$42)*$C$9,0)</f>
        <v>3.72</v>
      </c>
      <c r="R89" s="3" t="n">
        <f aca="false">$C$25*($C$10*10000/1000000)</f>
        <v>0.00414</v>
      </c>
      <c r="S89" s="277" t="n">
        <v>0</v>
      </c>
      <c r="T89" s="277" t="n">
        <v>0</v>
      </c>
      <c r="U89" s="277" t="n">
        <v>0</v>
      </c>
      <c r="V89" s="278" t="n">
        <f aca="false">F89-N89</f>
        <v>-5.27</v>
      </c>
      <c r="W89" s="277" t="n">
        <f aca="false">H89-P89-O89</f>
        <v>12.889265</v>
      </c>
      <c r="X89" s="277" t="n">
        <f aca="false">I89-Q89</f>
        <v>5.58</v>
      </c>
      <c r="Y89" s="277" t="n">
        <f aca="false">J89-R89</f>
        <v>0.01656</v>
      </c>
      <c r="Z89" s="277" t="n">
        <f aca="false">K89-S89</f>
        <v>0</v>
      </c>
      <c r="AA89" s="277" t="n">
        <f aca="false">L89-T89</f>
        <v>0</v>
      </c>
      <c r="AB89" s="277" t="n">
        <f aca="false">M89-U89</f>
        <v>0</v>
      </c>
      <c r="AC89" s="278" t="n">
        <f aca="false">$E89*F89</f>
        <v>0</v>
      </c>
      <c r="AD89" s="277" t="n">
        <f aca="false">E89*H89</f>
        <v>40189.5</v>
      </c>
      <c r="AE89" s="277" t="n">
        <f aca="false">E89*I89</f>
        <v>12555</v>
      </c>
      <c r="AF89" s="277" t="n">
        <f aca="false">E89*J89</f>
        <v>27.945</v>
      </c>
      <c r="AG89" s="277" t="n">
        <f aca="false">E89*K89</f>
        <v>0</v>
      </c>
      <c r="AH89" s="277" t="n">
        <f aca="false">E89*L89</f>
        <v>0</v>
      </c>
      <c r="AI89" s="279" t="n">
        <f aca="false">E89*M89</f>
        <v>0</v>
      </c>
      <c r="AJ89" s="280" t="n">
        <f aca="false">$E89*N89</f>
        <v>7114.5</v>
      </c>
      <c r="AK89" s="277" t="n">
        <f aca="false">E89*O89</f>
        <v>2972.47725</v>
      </c>
      <c r="AL89" s="277" t="n">
        <f aca="false">E89*P89</f>
        <v>19816.515</v>
      </c>
      <c r="AM89" s="277" t="n">
        <f aca="false">E89*Q89</f>
        <v>5022</v>
      </c>
      <c r="AN89" s="277" t="n">
        <f aca="false">E89*R89</f>
        <v>5.589</v>
      </c>
      <c r="AO89" s="277" t="n">
        <f aca="false">E89*Z89</f>
        <v>0</v>
      </c>
      <c r="AP89" s="277" t="n">
        <f aca="false">E89*T89</f>
        <v>0</v>
      </c>
      <c r="AQ89" s="279" t="n">
        <f aca="false">E89*U89</f>
        <v>0</v>
      </c>
      <c r="AR89" s="3" t="n">
        <f aca="false">AC89-AJ89</f>
        <v>-7114.5</v>
      </c>
      <c r="AS89" s="3" t="n">
        <f aca="false">AD89-AK89-AL89</f>
        <v>17400.50775</v>
      </c>
      <c r="AT89" s="3" t="n">
        <f aca="false">AE89-AM89</f>
        <v>7533</v>
      </c>
      <c r="AU89" s="3" t="n">
        <f aca="false">AF89-AN89</f>
        <v>22.356</v>
      </c>
      <c r="AV89" s="3" t="n">
        <f aca="false">AG89-AO89</f>
        <v>0</v>
      </c>
      <c r="AW89" s="3" t="n">
        <f aca="false">AH89-AP89</f>
        <v>0</v>
      </c>
      <c r="AX89" s="238" t="n">
        <f aca="false">AI89-AQ89</f>
        <v>0</v>
      </c>
      <c r="AY89" s="5" t="n">
        <f aca="false">E89*$C$23</f>
        <v>309150</v>
      </c>
      <c r="AZ89" s="5" t="n">
        <f aca="false">E89*$C$24</f>
        <v>125550</v>
      </c>
      <c r="BA89" s="230" t="n">
        <f aca="false">E89*$C$25</f>
        <v>279.45</v>
      </c>
      <c r="BB89" s="24" t="n">
        <f aca="false">$K$42*AR89</f>
        <v>-0</v>
      </c>
      <c r="BC89" s="35" t="n">
        <f aca="false">$L$42*AR89</f>
        <v>-0</v>
      </c>
      <c r="BD89" s="2"/>
      <c r="BE89" s="2"/>
      <c r="BF89" s="2"/>
      <c r="BG89" s="2"/>
      <c r="BH89" s="2"/>
      <c r="BI89" s="2"/>
      <c r="BJ89" s="2"/>
      <c r="BK89" s="2"/>
      <c r="BL89" s="2"/>
      <c r="BM89" s="2"/>
    </row>
    <row r="90" customFormat="false" ht="12.75" hidden="false" customHeight="true" outlineLevel="0" collapsed="false">
      <c r="A90" s="2"/>
      <c r="B90" s="56"/>
      <c r="C90" s="25" t="str">
        <f aca="false">$C$43</f>
        <v>Program 2</v>
      </c>
      <c r="D90" s="281" t="n">
        <f aca="false">D81</f>
        <v>0.4</v>
      </c>
      <c r="E90" s="230" t="n">
        <f aca="false">D90*$D$34</f>
        <v>2000</v>
      </c>
      <c r="F90" s="235" t="n">
        <v>0</v>
      </c>
      <c r="G90" s="3" t="n">
        <f aca="false">$K$43*F90</f>
        <v>0</v>
      </c>
      <c r="H90" s="3" t="n">
        <f aca="false">IF($C$23&gt;$E$43,($C$23-$E$43)*$G$43,0)</f>
        <v>38.93</v>
      </c>
      <c r="I90" s="3" t="n">
        <f aca="false">IF($C$24&gt;$F$43,($C$24-$F$43)*$H$43,0)</f>
        <v>12.09</v>
      </c>
      <c r="J90" s="3" t="n">
        <f aca="false">$C$25*$I$43</f>
        <v>0.0207</v>
      </c>
      <c r="K90" s="3" t="n">
        <f aca="false">IF($E$43&gt;$C$23,($E$43-$C$23)*$C$8,0)</f>
        <v>0</v>
      </c>
      <c r="L90" s="3" t="n">
        <f aca="false">IF($F$43&gt;$C$24,($F$43-$C$24)*$C$9,0)</f>
        <v>0</v>
      </c>
      <c r="M90" s="231" t="n">
        <v>4.2</v>
      </c>
      <c r="N90" s="232" t="n">
        <f aca="false">$C$2+($E$43*$C$8)+($F$43*$C$9)</f>
        <v>5.27</v>
      </c>
      <c r="O90" s="3" t="n">
        <f aca="false">$C$11*G90+$C$11*P90</f>
        <v>2.201835</v>
      </c>
      <c r="P90" s="3" t="n">
        <f aca="false">IF($C$23&gt;$E$43,($C$23-$E$43)*$C$8,0)</f>
        <v>14.6789</v>
      </c>
      <c r="Q90" s="3" t="n">
        <f aca="false">IF($C$24&gt;$F$43,($C$24-$F$43)*$C$9,0)</f>
        <v>3.72</v>
      </c>
      <c r="R90" s="3" t="n">
        <f aca="false">$C$25*($C$10*10000/1000000)</f>
        <v>0.00414</v>
      </c>
      <c r="S90" s="3" t="n">
        <v>0</v>
      </c>
      <c r="T90" s="3" t="n">
        <v>0</v>
      </c>
      <c r="U90" s="3" t="n">
        <v>0</v>
      </c>
      <c r="V90" s="235" t="n">
        <f aca="false">F90-N90</f>
        <v>-5.27</v>
      </c>
      <c r="W90" s="3" t="n">
        <f aca="false">H90-P90-O90</f>
        <v>22.049265</v>
      </c>
      <c r="X90" s="3" t="n">
        <f aca="false">I90-Q90</f>
        <v>8.37</v>
      </c>
      <c r="Y90" s="3" t="n">
        <f aca="false">J90-R90</f>
        <v>0.01656</v>
      </c>
      <c r="Z90" s="3" t="n">
        <f aca="false">K90-S90</f>
        <v>0</v>
      </c>
      <c r="AA90" s="3" t="n">
        <f aca="false">L90-T90</f>
        <v>0</v>
      </c>
      <c r="AB90" s="3" t="n">
        <f aca="false">M90-U90</f>
        <v>4.2</v>
      </c>
      <c r="AC90" s="235" t="n">
        <f aca="false">$E90*F90</f>
        <v>0</v>
      </c>
      <c r="AD90" s="3" t="n">
        <f aca="false">E90*H90</f>
        <v>77860</v>
      </c>
      <c r="AE90" s="3" t="n">
        <f aca="false">E90*I90</f>
        <v>24180</v>
      </c>
      <c r="AF90" s="3" t="n">
        <f aca="false">E90*J90</f>
        <v>41.4</v>
      </c>
      <c r="AG90" s="3" t="n">
        <f aca="false">E90*K90</f>
        <v>0</v>
      </c>
      <c r="AH90" s="3" t="n">
        <f aca="false">E90*L90</f>
        <v>0</v>
      </c>
      <c r="AI90" s="231" t="n">
        <f aca="false">E90*M90</f>
        <v>8400</v>
      </c>
      <c r="AJ90" s="232" t="n">
        <f aca="false">$E90*N90</f>
        <v>10540</v>
      </c>
      <c r="AK90" s="3" t="n">
        <f aca="false">E90*O90</f>
        <v>4403.67</v>
      </c>
      <c r="AL90" s="3" t="n">
        <f aca="false">E90*P90</f>
        <v>29357.8</v>
      </c>
      <c r="AM90" s="3" t="n">
        <f aca="false">E90*Q90</f>
        <v>7440</v>
      </c>
      <c r="AN90" s="3" t="n">
        <f aca="false">E90*R90</f>
        <v>8.28</v>
      </c>
      <c r="AO90" s="3" t="n">
        <f aca="false">E90*Z90</f>
        <v>0</v>
      </c>
      <c r="AP90" s="3" t="n">
        <f aca="false">E90*T90</f>
        <v>0</v>
      </c>
      <c r="AQ90" s="231" t="n">
        <f aca="false">E90*U90</f>
        <v>0</v>
      </c>
      <c r="AR90" s="3" t="n">
        <f aca="false">AC90-AJ90</f>
        <v>-10540</v>
      </c>
      <c r="AS90" s="3" t="n">
        <f aca="false">AD90-AK90-AL90</f>
        <v>44098.53</v>
      </c>
      <c r="AT90" s="3" t="n">
        <f aca="false">AE90-AM90</f>
        <v>16740</v>
      </c>
      <c r="AU90" s="3" t="n">
        <f aca="false">AF90-AN90</f>
        <v>33.12</v>
      </c>
      <c r="AV90" s="3" t="n">
        <f aca="false">AG90-AO90</f>
        <v>0</v>
      </c>
      <c r="AW90" s="3" t="n">
        <f aca="false">AH90-AP90</f>
        <v>0</v>
      </c>
      <c r="AX90" s="238" t="n">
        <f aca="false">AI90-AQ90</f>
        <v>8400</v>
      </c>
      <c r="AY90" s="5" t="n">
        <f aca="false">E90*$C$23</f>
        <v>458000</v>
      </c>
      <c r="AZ90" s="5" t="n">
        <f aca="false">E90*$C$24</f>
        <v>186000</v>
      </c>
      <c r="BA90" s="230" t="n">
        <f aca="false">E90*$C$25</f>
        <v>414</v>
      </c>
      <c r="BB90" s="24" t="n">
        <f aca="false">$K$43*AR90</f>
        <v>-0</v>
      </c>
      <c r="BC90" s="35" t="n">
        <f aca="false">$L$43*AR90</f>
        <v>-0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</row>
    <row r="91" customFormat="false" ht="12.75" hidden="false" customHeight="true" outlineLevel="0" collapsed="false">
      <c r="A91" s="2"/>
      <c r="B91" s="56"/>
      <c r="C91" s="25" t="str">
        <f aca="false">$C$44</f>
        <v>Program 3</v>
      </c>
      <c r="D91" s="281" t="n">
        <f aca="false">D82</f>
        <v>0.17</v>
      </c>
      <c r="E91" s="230" t="n">
        <f aca="false">D91*$D$34</f>
        <v>850</v>
      </c>
      <c r="F91" s="235" t="n">
        <v>6</v>
      </c>
      <c r="G91" s="3" t="n">
        <f aca="false">$K$44*F91</f>
        <v>6</v>
      </c>
      <c r="H91" s="3" t="n">
        <f aca="false">IF($C$23&gt;$E$44,($C$23-$E$44)*$G$44,0)</f>
        <v>23.1</v>
      </c>
      <c r="I91" s="3" t="n">
        <f aca="false">IF($C$24&gt;$F$44,($C$24-$F$44)*$H$44,0)</f>
        <v>9.3</v>
      </c>
      <c r="J91" s="3" t="n">
        <f aca="false">$C$25*$I$44</f>
        <v>0.0207</v>
      </c>
      <c r="K91" s="3" t="n">
        <f aca="false">IF($E$44&gt;$C$23,($E$44-$C$23)*$C$8,0)</f>
        <v>0</v>
      </c>
      <c r="L91" s="3" t="n">
        <f aca="false">IF($F$44&gt;$C$24,($F$44-$C$24)*$C$9,0)</f>
        <v>0</v>
      </c>
      <c r="M91" s="231" t="n">
        <v>2.8</v>
      </c>
      <c r="N91" s="232" t="n">
        <f aca="false">$C$2+($E$44*$C$8)+($F$44*$C$9)</f>
        <v>10.0775</v>
      </c>
      <c r="O91" s="3" t="n">
        <f aca="false">$C$11*G91+$C$11*P91</f>
        <v>2.38071</v>
      </c>
      <c r="P91" s="3" t="n">
        <f aca="false">IF($C$23&gt;$E$44,($C$23-$E$44)*$C$8,0)</f>
        <v>9.8714</v>
      </c>
      <c r="Q91" s="3" t="n">
        <f aca="false">IF($C$24&gt;$F$44,($C$24-$F$44)*$C$9,0)</f>
        <v>3.72</v>
      </c>
      <c r="R91" s="3" t="n">
        <f aca="false">$C$25*($C$10*10000/1000000)</f>
        <v>0.00414</v>
      </c>
      <c r="S91" s="3" t="n">
        <v>0</v>
      </c>
      <c r="T91" s="3" t="n">
        <v>0</v>
      </c>
      <c r="U91" s="3" t="n">
        <v>0</v>
      </c>
      <c r="V91" s="235" t="n">
        <f aca="false">F91-N91</f>
        <v>-4.0775</v>
      </c>
      <c r="W91" s="3" t="n">
        <f aca="false">H91-P91-O91</f>
        <v>10.84789</v>
      </c>
      <c r="X91" s="3" t="n">
        <f aca="false">I91-Q91</f>
        <v>5.58</v>
      </c>
      <c r="Y91" s="3" t="n">
        <f aca="false">J91-R91</f>
        <v>0.01656</v>
      </c>
      <c r="Z91" s="3" t="n">
        <f aca="false">K91-S91</f>
        <v>0</v>
      </c>
      <c r="AA91" s="3" t="n">
        <f aca="false">L91-T91</f>
        <v>0</v>
      </c>
      <c r="AB91" s="3" t="n">
        <f aca="false">M91-U91</f>
        <v>2.8</v>
      </c>
      <c r="AC91" s="235" t="n">
        <f aca="false">$E91*F91</f>
        <v>5100</v>
      </c>
      <c r="AD91" s="3" t="n">
        <f aca="false">E91*H91</f>
        <v>19635</v>
      </c>
      <c r="AE91" s="3" t="n">
        <f aca="false">E91*I91</f>
        <v>7905</v>
      </c>
      <c r="AF91" s="3" t="n">
        <f aca="false">E91*J91</f>
        <v>17.595</v>
      </c>
      <c r="AG91" s="3" t="n">
        <f aca="false">E91*K91</f>
        <v>0</v>
      </c>
      <c r="AH91" s="3" t="n">
        <f aca="false">E91*L91</f>
        <v>0</v>
      </c>
      <c r="AI91" s="231" t="n">
        <f aca="false">E91*M91</f>
        <v>2380</v>
      </c>
      <c r="AJ91" s="232" t="n">
        <f aca="false">$E91*N91</f>
        <v>8565.875</v>
      </c>
      <c r="AK91" s="3" t="n">
        <f aca="false">E91*O91</f>
        <v>2023.6035</v>
      </c>
      <c r="AL91" s="3" t="n">
        <f aca="false">E91*P91</f>
        <v>8390.69</v>
      </c>
      <c r="AM91" s="3" t="n">
        <f aca="false">E91*Q91</f>
        <v>3162</v>
      </c>
      <c r="AN91" s="3" t="n">
        <f aca="false">E91*R91</f>
        <v>3.519</v>
      </c>
      <c r="AO91" s="3" t="n">
        <f aca="false">E91*Z91</f>
        <v>0</v>
      </c>
      <c r="AP91" s="3" t="n">
        <f aca="false">E91*T91</f>
        <v>0</v>
      </c>
      <c r="AQ91" s="231" t="n">
        <f aca="false">E91*U91</f>
        <v>0</v>
      </c>
      <c r="AR91" s="3" t="n">
        <f aca="false">AC91-AJ91</f>
        <v>-3465.875</v>
      </c>
      <c r="AS91" s="3" t="n">
        <f aca="false">AD91-AK91-AL91</f>
        <v>9220.7065</v>
      </c>
      <c r="AT91" s="3" t="n">
        <f aca="false">AE91-AM91</f>
        <v>4743</v>
      </c>
      <c r="AU91" s="3" t="n">
        <f aca="false">AF91-AN91</f>
        <v>14.076</v>
      </c>
      <c r="AV91" s="3" t="n">
        <f aca="false">AG91-AO91</f>
        <v>0</v>
      </c>
      <c r="AW91" s="3" t="n">
        <f aca="false">AH91-AP91</f>
        <v>0</v>
      </c>
      <c r="AX91" s="238" t="n">
        <f aca="false">AI91-AQ91</f>
        <v>2380</v>
      </c>
      <c r="AY91" s="5" t="n">
        <f aca="false">E91*$C$23</f>
        <v>194650</v>
      </c>
      <c r="AZ91" s="5" t="n">
        <f aca="false">E91*$C$24</f>
        <v>79050</v>
      </c>
      <c r="BA91" s="230" t="n">
        <f aca="false">E91*$C$25</f>
        <v>175.95</v>
      </c>
      <c r="BB91" s="24" t="n">
        <f aca="false">$K$44*AR91</f>
        <v>-3465.875</v>
      </c>
      <c r="BC91" s="35" t="n">
        <f aca="false">$L$44*AR91</f>
        <v>-0</v>
      </c>
      <c r="BD91" s="2"/>
      <c r="BE91" s="2"/>
      <c r="BF91" s="2"/>
      <c r="BG91" s="2"/>
      <c r="BH91" s="2"/>
      <c r="BI91" s="2"/>
      <c r="BJ91" s="2"/>
      <c r="BK91" s="2"/>
      <c r="BL91" s="2"/>
      <c r="BM91" s="2"/>
    </row>
    <row r="92" customFormat="false" ht="12.75" hidden="false" customHeight="true" outlineLevel="0" collapsed="false">
      <c r="A92" s="2"/>
      <c r="B92" s="56"/>
      <c r="C92" s="25" t="str">
        <f aca="false">$C$45</f>
        <v>Program 4</v>
      </c>
      <c r="D92" s="281" t="n">
        <f aca="false">D83</f>
        <v>0.1</v>
      </c>
      <c r="E92" s="230" t="n">
        <f aca="false">D92*$D$34</f>
        <v>500</v>
      </c>
      <c r="F92" s="235" t="n">
        <v>15</v>
      </c>
      <c r="G92" s="3" t="n">
        <f aca="false">$K$45*F92</f>
        <v>15</v>
      </c>
      <c r="H92" s="3" t="n">
        <f aca="false">IF($C$23&gt;$E$45,($C$23-$E$45)*$G$45,0)</f>
        <v>3.77</v>
      </c>
      <c r="I92" s="3" t="n">
        <f aca="false">IF($C$24&gt;$F$45,($C$24-$F$45)*$H$45,0)</f>
        <v>9.3</v>
      </c>
      <c r="J92" s="3" t="n">
        <f aca="false">$C$25*$I$45</f>
        <v>0.0207</v>
      </c>
      <c r="K92" s="3" t="n">
        <f aca="false">IF($E$45&gt;$C$23,($E$45-$C$23)*$C$8,0)</f>
        <v>0</v>
      </c>
      <c r="L92" s="3" t="n">
        <f aca="false">IF($F$45&gt;$C$24,($F$45-$C$24)*$C$9,0)</f>
        <v>0</v>
      </c>
      <c r="M92" s="231" t="n">
        <v>0</v>
      </c>
      <c r="N92" s="232" t="n">
        <f aca="false">$C$2+($E$45*$C$8)+($F$45*$C$9)</f>
        <v>18.09</v>
      </c>
      <c r="O92" s="3" t="n">
        <f aca="false">$C$11*G92+$C$11*P92</f>
        <v>2.528835</v>
      </c>
      <c r="P92" s="3" t="n">
        <f aca="false">IF($C$23&gt;$E$45,($C$23-$E$45)*$C$8,0)</f>
        <v>1.8589</v>
      </c>
      <c r="Q92" s="3" t="n">
        <f aca="false">IF($C$24&gt;$F$45,($C$24-$F$45)*$C$9,0)</f>
        <v>3.72</v>
      </c>
      <c r="R92" s="3" t="n">
        <f aca="false">$C$25*($C$10*10000/1000000)</f>
        <v>0.00414</v>
      </c>
      <c r="S92" s="3" t="n">
        <v>0</v>
      </c>
      <c r="T92" s="3" t="n">
        <v>0</v>
      </c>
      <c r="U92" s="3" t="n">
        <v>0</v>
      </c>
      <c r="V92" s="235" t="n">
        <f aca="false">F92-N92</f>
        <v>-3.09</v>
      </c>
      <c r="W92" s="3" t="n">
        <f aca="false">H92-P92-O92</f>
        <v>-0.617735</v>
      </c>
      <c r="X92" s="3" t="n">
        <f aca="false">I92-Q92</f>
        <v>5.58</v>
      </c>
      <c r="Y92" s="3" t="n">
        <f aca="false">J92-R92</f>
        <v>0.01656</v>
      </c>
      <c r="Z92" s="3" t="n">
        <f aca="false">K92-S92</f>
        <v>0</v>
      </c>
      <c r="AA92" s="3" t="n">
        <f aca="false">L92-T92</f>
        <v>0</v>
      </c>
      <c r="AB92" s="3" t="n">
        <f aca="false">M92-U92</f>
        <v>0</v>
      </c>
      <c r="AC92" s="235" t="n">
        <f aca="false">$E92*F92</f>
        <v>7500</v>
      </c>
      <c r="AD92" s="3" t="n">
        <f aca="false">E92*H92</f>
        <v>1885</v>
      </c>
      <c r="AE92" s="3" t="n">
        <f aca="false">E92*I92</f>
        <v>4650</v>
      </c>
      <c r="AF92" s="3" t="n">
        <f aca="false">E92*J92</f>
        <v>10.35</v>
      </c>
      <c r="AG92" s="3" t="n">
        <f aca="false">E92*K92</f>
        <v>0</v>
      </c>
      <c r="AH92" s="3" t="n">
        <f aca="false">E92*L92</f>
        <v>0</v>
      </c>
      <c r="AI92" s="231" t="n">
        <f aca="false">E92*M92</f>
        <v>0</v>
      </c>
      <c r="AJ92" s="232" t="n">
        <f aca="false">$E92*N92</f>
        <v>9045</v>
      </c>
      <c r="AK92" s="3" t="n">
        <f aca="false">E92*O92</f>
        <v>1264.4175</v>
      </c>
      <c r="AL92" s="3" t="n">
        <f aca="false">E92*P92</f>
        <v>929.45</v>
      </c>
      <c r="AM92" s="3" t="n">
        <f aca="false">E92*Q92</f>
        <v>1860</v>
      </c>
      <c r="AN92" s="3" t="n">
        <f aca="false">E92*R92</f>
        <v>2.07</v>
      </c>
      <c r="AO92" s="3" t="n">
        <f aca="false">E92*Z92</f>
        <v>0</v>
      </c>
      <c r="AP92" s="3" t="n">
        <f aca="false">E92*T92</f>
        <v>0</v>
      </c>
      <c r="AQ92" s="231" t="n">
        <f aca="false">E92*U92</f>
        <v>0</v>
      </c>
      <c r="AR92" s="3" t="n">
        <f aca="false">AC92-AJ92</f>
        <v>-1545</v>
      </c>
      <c r="AS92" s="3" t="n">
        <f aca="false">AD92-AK92-AL92</f>
        <v>-308.8675</v>
      </c>
      <c r="AT92" s="3" t="n">
        <f aca="false">AE92-AM92</f>
        <v>2790</v>
      </c>
      <c r="AU92" s="3" t="n">
        <f aca="false">AF92-AN92</f>
        <v>8.28</v>
      </c>
      <c r="AV92" s="3" t="n">
        <f aca="false">AG92-AO92</f>
        <v>0</v>
      </c>
      <c r="AW92" s="3" t="n">
        <f aca="false">AH92-AP92</f>
        <v>0</v>
      </c>
      <c r="AX92" s="238" t="n">
        <f aca="false">AI92-AQ92</f>
        <v>0</v>
      </c>
      <c r="AY92" s="5" t="n">
        <f aca="false">E92*$C$23</f>
        <v>114500</v>
      </c>
      <c r="AZ92" s="5" t="n">
        <f aca="false">E92*$C$24</f>
        <v>46500</v>
      </c>
      <c r="BA92" s="230" t="n">
        <f aca="false">E92*$C$25</f>
        <v>103.5</v>
      </c>
      <c r="BB92" s="24" t="n">
        <f aca="false">$K$45*AR92</f>
        <v>-1545</v>
      </c>
      <c r="BC92" s="35" t="n">
        <f aca="false">$L$45*AR92</f>
        <v>-0</v>
      </c>
      <c r="BD92" s="2"/>
      <c r="BE92" s="2"/>
      <c r="BF92" s="2"/>
      <c r="BG92" s="2"/>
      <c r="BH92" s="2"/>
      <c r="BI92" s="2"/>
      <c r="BJ92" s="2"/>
      <c r="BK92" s="2"/>
      <c r="BL92" s="2"/>
      <c r="BM92" s="2"/>
    </row>
    <row r="93" customFormat="false" ht="12.75" hidden="false" customHeight="true" outlineLevel="0" collapsed="false">
      <c r="A93" s="2"/>
      <c r="B93" s="56"/>
      <c r="C93" s="25" t="str">
        <f aca="false">$C$46</f>
        <v>Program 5</v>
      </c>
      <c r="D93" s="281" t="n">
        <f aca="false">D84</f>
        <v>0.05</v>
      </c>
      <c r="E93" s="230" t="n">
        <f aca="false">D93*$D$34</f>
        <v>250</v>
      </c>
      <c r="F93" s="235" t="n">
        <v>25</v>
      </c>
      <c r="G93" s="3" t="n">
        <f aca="false">$K$46*F93</f>
        <v>25</v>
      </c>
      <c r="H93" s="3" t="n">
        <f aca="false">IF($C$23&gt;$E$46,($C$23-$E$46)*$G$46,0)</f>
        <v>0</v>
      </c>
      <c r="I93" s="3" t="n">
        <f aca="false">IF($C$24&gt;$F$46,($C$24-$F$46)*$H$46,0)</f>
        <v>9.3</v>
      </c>
      <c r="J93" s="3" t="n">
        <f aca="false">$C$25*$I$46</f>
        <v>0.0207</v>
      </c>
      <c r="K93" s="3" t="n">
        <f aca="false">IF($E$46&gt;$C$23,($E$46-$C$23)*$C$8,0)</f>
        <v>14.1661</v>
      </c>
      <c r="L93" s="3" t="n">
        <f aca="false">IF($F$46&gt;$C$24,($F$46-$C$24)*$C$9,0)</f>
        <v>0</v>
      </c>
      <c r="M93" s="231" t="n">
        <v>0</v>
      </c>
      <c r="N93" s="232" t="n">
        <f aca="false">$C$2+($E$46*$C$8)+($F$46*$C$9)</f>
        <v>34.115</v>
      </c>
      <c r="O93" s="3" t="n">
        <f aca="false">$C$11*G93+$C$11*P93</f>
        <v>3.75</v>
      </c>
      <c r="P93" s="3" t="n">
        <f aca="false">IF($C$23&gt;$E$46,($C$23-$E$46)*$C$8,0)</f>
        <v>0</v>
      </c>
      <c r="Q93" s="3" t="n">
        <f aca="false">IF($C$24&gt;$F$46,($C$24-$F$46)*$C$9,0)</f>
        <v>3.72</v>
      </c>
      <c r="R93" s="3" t="n">
        <f aca="false">$C$25*($C$10*10000/1000000)</f>
        <v>0.00414</v>
      </c>
      <c r="S93" s="3" t="n">
        <v>0</v>
      </c>
      <c r="T93" s="3" t="n">
        <v>0</v>
      </c>
      <c r="U93" s="3" t="n">
        <v>0</v>
      </c>
      <c r="V93" s="235" t="n">
        <f aca="false">F93-N93</f>
        <v>-9.115</v>
      </c>
      <c r="W93" s="3" t="n">
        <f aca="false">H93-P93-O93</f>
        <v>-3.75</v>
      </c>
      <c r="X93" s="3" t="n">
        <f aca="false">I93-Q93</f>
        <v>5.58</v>
      </c>
      <c r="Y93" s="3" t="n">
        <f aca="false">J93-R93</f>
        <v>0.01656</v>
      </c>
      <c r="Z93" s="3" t="n">
        <f aca="false">K93-S93</f>
        <v>14.1661</v>
      </c>
      <c r="AA93" s="3" t="n">
        <f aca="false">L93-T93</f>
        <v>0</v>
      </c>
      <c r="AB93" s="3" t="n">
        <f aca="false">M93-U93</f>
        <v>0</v>
      </c>
      <c r="AC93" s="235" t="n">
        <f aca="false">$E93*F93</f>
        <v>6250</v>
      </c>
      <c r="AD93" s="3" t="n">
        <f aca="false">E93*H93</f>
        <v>0</v>
      </c>
      <c r="AE93" s="3" t="n">
        <f aca="false">E93*I93</f>
        <v>2325</v>
      </c>
      <c r="AF93" s="3" t="n">
        <f aca="false">E93*J93</f>
        <v>5.175</v>
      </c>
      <c r="AG93" s="3" t="n">
        <f aca="false">E93*K93</f>
        <v>3541.525</v>
      </c>
      <c r="AH93" s="3" t="n">
        <f aca="false">E93*L93</f>
        <v>0</v>
      </c>
      <c r="AI93" s="231" t="n">
        <f aca="false">E93*M93</f>
        <v>0</v>
      </c>
      <c r="AJ93" s="232" t="n">
        <f aca="false">$E93*N93</f>
        <v>8528.75</v>
      </c>
      <c r="AK93" s="3" t="n">
        <f aca="false">E93*O93</f>
        <v>937.5</v>
      </c>
      <c r="AL93" s="3" t="n">
        <f aca="false">E93*P93</f>
        <v>0</v>
      </c>
      <c r="AM93" s="3" t="n">
        <f aca="false">E93*Q93</f>
        <v>930</v>
      </c>
      <c r="AN93" s="3" t="n">
        <f aca="false">E93*R93</f>
        <v>1.035</v>
      </c>
      <c r="AO93" s="3" t="n">
        <f aca="false">E93*Z93</f>
        <v>3541.525</v>
      </c>
      <c r="AP93" s="3" t="n">
        <f aca="false">E93*T93</f>
        <v>0</v>
      </c>
      <c r="AQ93" s="231" t="n">
        <f aca="false">E93*U93</f>
        <v>0</v>
      </c>
      <c r="AR93" s="3" t="n">
        <f aca="false">AC93-AJ93</f>
        <v>-2278.75</v>
      </c>
      <c r="AS93" s="3" t="n">
        <f aca="false">AD93-AK93-AL93</f>
        <v>-937.5</v>
      </c>
      <c r="AT93" s="3" t="n">
        <f aca="false">AE93-AM93</f>
        <v>1395</v>
      </c>
      <c r="AU93" s="3" t="n">
        <f aca="false">AF93-AN93</f>
        <v>4.14</v>
      </c>
      <c r="AV93" s="3" t="n">
        <f aca="false">AG93-AO93</f>
        <v>0</v>
      </c>
      <c r="AW93" s="3" t="n">
        <f aca="false">AH93-AP93</f>
        <v>0</v>
      </c>
      <c r="AX93" s="238" t="n">
        <f aca="false">AI93-AQ93</f>
        <v>0</v>
      </c>
      <c r="AY93" s="5" t="n">
        <f aca="false">E93*$C$23</f>
        <v>57250</v>
      </c>
      <c r="AZ93" s="5" t="n">
        <f aca="false">E93*$C$24</f>
        <v>23250</v>
      </c>
      <c r="BA93" s="230" t="n">
        <f aca="false">E93*$C$25</f>
        <v>51.75</v>
      </c>
      <c r="BB93" s="24" t="n">
        <f aca="false">$K$46*AR93</f>
        <v>-2278.75</v>
      </c>
      <c r="BC93" s="35" t="n">
        <f aca="false">$L$46*AR93</f>
        <v>-0</v>
      </c>
      <c r="BD93" s="2"/>
      <c r="BE93" s="2"/>
      <c r="BF93" s="2"/>
      <c r="BG93" s="2"/>
      <c r="BH93" s="2"/>
      <c r="BI93" s="2"/>
      <c r="BJ93" s="2"/>
      <c r="BK93" s="2"/>
      <c r="BL93" s="2"/>
      <c r="BM93" s="2"/>
    </row>
    <row r="94" customFormat="false" ht="12.75" hidden="false" customHeight="true" outlineLevel="0" collapsed="false">
      <c r="A94" s="27"/>
      <c r="B94" s="56"/>
      <c r="C94" s="25" t="str">
        <f aca="false">$C$47</f>
        <v>Program 6</v>
      </c>
      <c r="D94" s="192" t="n">
        <f aca="false">D85</f>
        <v>0.01</v>
      </c>
      <c r="E94" s="230" t="n">
        <f aca="false">D94*$D$30</f>
        <v>150</v>
      </c>
      <c r="F94" s="3" t="n">
        <v>25</v>
      </c>
      <c r="G94" s="3" t="n">
        <f aca="false">$K$46*F94</f>
        <v>25</v>
      </c>
      <c r="H94" s="3" t="n">
        <f aca="false">IF($C$23&gt;$E$46,($C$23-$E$46)*$G$46,0)</f>
        <v>0</v>
      </c>
      <c r="I94" s="3" t="n">
        <f aca="false">IF($C$24&gt;$F$46,($C$24-$F$46)*$H$46,0)</f>
        <v>9.3</v>
      </c>
      <c r="J94" s="3" t="n">
        <f aca="false">$C$25*$I$46</f>
        <v>0.0207</v>
      </c>
      <c r="K94" s="3" t="n">
        <f aca="false">IF($E$46&gt;$C$23,($E$46-$C$23)*$C$8,0)</f>
        <v>14.1661</v>
      </c>
      <c r="L94" s="3" t="n">
        <f aca="false">IF($F$46&gt;$C$24,($F$46-$C$24)*$C$9,0)</f>
        <v>0</v>
      </c>
      <c r="M94" s="231" t="n">
        <v>0</v>
      </c>
      <c r="N94" s="232" t="n">
        <f aca="false">$C$2+($E$46*$C$8)+($F$46*$C$9)</f>
        <v>34.115</v>
      </c>
      <c r="O94" s="3" t="n">
        <f aca="false">$C$11*G94+$C$11*P94</f>
        <v>3.75</v>
      </c>
      <c r="P94" s="3" t="n">
        <f aca="false">IF($C$23&gt;$E$46,($C$23-$E$46)*$C$8,0)</f>
        <v>0</v>
      </c>
      <c r="Q94" s="3" t="n">
        <f aca="false">IF($C$24&gt;$F$46,($C$24-$F$46)*$C$9,0)</f>
        <v>3.72</v>
      </c>
      <c r="R94" s="3" t="n">
        <f aca="false">$C$25*($C$10*10000/1000000)</f>
        <v>0.00414</v>
      </c>
      <c r="S94" s="3" t="n">
        <v>0</v>
      </c>
      <c r="T94" s="3" t="n">
        <v>0</v>
      </c>
      <c r="U94" s="3" t="n">
        <v>0</v>
      </c>
      <c r="V94" s="235" t="n">
        <f aca="false">F94-N94</f>
        <v>-9.115</v>
      </c>
      <c r="W94" s="3" t="n">
        <f aca="false">H94-P94-O94</f>
        <v>-3.75</v>
      </c>
      <c r="X94" s="3" t="n">
        <f aca="false">I94-Q94</f>
        <v>5.58</v>
      </c>
      <c r="Y94" s="3" t="n">
        <f aca="false">J94-R94</f>
        <v>0.01656</v>
      </c>
      <c r="Z94" s="3" t="n">
        <f aca="false">K94-S94</f>
        <v>14.1661</v>
      </c>
      <c r="AA94" s="3" t="n">
        <f aca="false">L94-T94</f>
        <v>0</v>
      </c>
      <c r="AB94" s="3" t="n">
        <f aca="false">M94-U94</f>
        <v>0</v>
      </c>
      <c r="AC94" s="235" t="n">
        <f aca="false">$E94*F94</f>
        <v>3750</v>
      </c>
      <c r="AD94" s="3" t="n">
        <f aca="false">E94*H94</f>
        <v>0</v>
      </c>
      <c r="AE94" s="3" t="n">
        <f aca="false">E94*I94</f>
        <v>1395</v>
      </c>
      <c r="AF94" s="3" t="n">
        <f aca="false">E94*J94</f>
        <v>3.105</v>
      </c>
      <c r="AG94" s="3" t="n">
        <f aca="false">E94*K94</f>
        <v>2124.915</v>
      </c>
      <c r="AH94" s="3" t="n">
        <f aca="false">E94*L94</f>
        <v>0</v>
      </c>
      <c r="AI94" s="3" t="n">
        <f aca="false">E94*M94</f>
        <v>0</v>
      </c>
      <c r="AJ94" s="232" t="n">
        <f aca="false">$E94*N94</f>
        <v>5117.25</v>
      </c>
      <c r="AK94" s="3" t="n">
        <f aca="false">E94*O94</f>
        <v>562.5</v>
      </c>
      <c r="AL94" s="3" t="n">
        <f aca="false">E94*P94</f>
        <v>0</v>
      </c>
      <c r="AM94" s="3" t="n">
        <f aca="false">E94*Q94</f>
        <v>558</v>
      </c>
      <c r="AN94" s="3" t="n">
        <f aca="false">E94*R94</f>
        <v>0.621</v>
      </c>
      <c r="AO94" s="3" t="n">
        <f aca="false">E94*Z94</f>
        <v>2124.915</v>
      </c>
      <c r="AP94" s="3" t="n">
        <f aca="false">E94*T94</f>
        <v>0</v>
      </c>
      <c r="AQ94" s="231" t="n">
        <f aca="false">E94*U94</f>
        <v>0</v>
      </c>
      <c r="AR94" s="3" t="n">
        <f aca="false">AC94-AJ94</f>
        <v>-1367.25</v>
      </c>
      <c r="AS94" s="3" t="n">
        <f aca="false">AD94-AK94-AL94</f>
        <v>-562.5</v>
      </c>
      <c r="AT94" s="3" t="n">
        <f aca="false">AE94-AM94</f>
        <v>837</v>
      </c>
      <c r="AU94" s="3" t="n">
        <f aca="false">AF94-AN94</f>
        <v>2.484</v>
      </c>
      <c r="AV94" s="3" t="n">
        <f aca="false">AG94-AO94</f>
        <v>0</v>
      </c>
      <c r="AW94" s="3" t="n">
        <f aca="false">AH94-AP94</f>
        <v>0</v>
      </c>
      <c r="AX94" s="238" t="n">
        <f aca="false">AI94-AQ94</f>
        <v>0</v>
      </c>
      <c r="AY94" s="5" t="n">
        <f aca="false">E94*$C$23</f>
        <v>34350</v>
      </c>
      <c r="AZ94" s="5" t="n">
        <f aca="false">E94*$C$24</f>
        <v>13950</v>
      </c>
      <c r="BA94" s="230" t="n">
        <f aca="false">E94*$C$25</f>
        <v>31.05</v>
      </c>
      <c r="BB94" s="24" t="n">
        <f aca="false">$K$46*AR94</f>
        <v>-1367.25</v>
      </c>
      <c r="BC94" s="35" t="n">
        <f aca="false">$L$46*AR94</f>
        <v>-0</v>
      </c>
      <c r="BD94" s="2"/>
      <c r="BE94" s="2"/>
      <c r="BF94" s="2"/>
      <c r="BG94" s="2"/>
      <c r="BH94" s="2"/>
      <c r="BI94" s="2"/>
      <c r="BJ94" s="2"/>
      <c r="BK94" s="2"/>
      <c r="BL94" s="2"/>
      <c r="BM94" s="2"/>
    </row>
    <row r="95" customFormat="false" ht="12.75" hidden="false" customHeight="true" outlineLevel="0" collapsed="false">
      <c r="A95" s="2"/>
      <c r="B95" s="30"/>
      <c r="C95" s="32" t="n">
        <f aca="false">$C$48</f>
        <v>0</v>
      </c>
      <c r="D95" s="287" t="n">
        <f aca="false">D86</f>
        <v>0</v>
      </c>
      <c r="E95" s="283" t="n">
        <f aca="false">D95*$D$34</f>
        <v>0</v>
      </c>
      <c r="F95" s="284" t="n">
        <v>35</v>
      </c>
      <c r="G95" s="3" t="n">
        <f aca="false">$K$48*F95</f>
        <v>35</v>
      </c>
      <c r="H95" s="244" t="n">
        <f aca="false">IF($C$23&gt;$E$48,($C$23-$E$48)*$G$48,0)</f>
        <v>0</v>
      </c>
      <c r="I95" s="244" t="n">
        <f aca="false">IF($C$24&gt;$F$48,($C$24-$F$48)*$H$48,0)</f>
        <v>0</v>
      </c>
      <c r="J95" s="244" t="n">
        <f aca="false">$C$25*$I$48</f>
        <v>0</v>
      </c>
      <c r="K95" s="244" t="n">
        <f aca="false">IF($E$48&gt;$C$23,($E$48-$C$23)*$C$8,0)</f>
        <v>0</v>
      </c>
      <c r="L95" s="244" t="n">
        <f aca="false">IF($F$48&gt;$C$24,($F$48-$C$24)*$C$9,0)</f>
        <v>0</v>
      </c>
      <c r="M95" s="246" t="n">
        <v>0</v>
      </c>
      <c r="N95" s="232" t="n">
        <f aca="false">$C$2+($E$48*$C$8)+($F$48*$C$9)</f>
        <v>5.27</v>
      </c>
      <c r="O95" s="3" t="n">
        <f aca="false">$C$11*G95+$C$11*P95</f>
        <v>7.451835</v>
      </c>
      <c r="P95" s="244" t="n">
        <f aca="false">IF($C$23&gt;$E$48,($C$23-$E$48)*$C$8,0)</f>
        <v>14.6789</v>
      </c>
      <c r="Q95" s="244" t="n">
        <f aca="false">IF($C$24&gt;$F$48,($C$24-$F$48)*$C$9,0)</f>
        <v>3.72</v>
      </c>
      <c r="R95" s="244" t="n">
        <f aca="false">$C$25*($C$10*10000/1000000)</f>
        <v>0.00414</v>
      </c>
      <c r="S95" s="244" t="n">
        <v>0</v>
      </c>
      <c r="T95" s="244" t="n">
        <v>0</v>
      </c>
      <c r="U95" s="244" t="n">
        <v>0</v>
      </c>
      <c r="V95" s="284" t="n">
        <f aca="false">F95-N95</f>
        <v>29.73</v>
      </c>
      <c r="W95" s="244" t="n">
        <f aca="false">H95-P95-O95</f>
        <v>-22.130735</v>
      </c>
      <c r="X95" s="244" t="n">
        <f aca="false">I95-Q95</f>
        <v>-3.72</v>
      </c>
      <c r="Y95" s="244" t="n">
        <f aca="false">J95-R95</f>
        <v>-0.00414</v>
      </c>
      <c r="Z95" s="244" t="n">
        <f aca="false">K95-S95</f>
        <v>0</v>
      </c>
      <c r="AA95" s="244" t="n">
        <f aca="false">L95-T95</f>
        <v>0</v>
      </c>
      <c r="AB95" s="244" t="n">
        <f aca="false">M95-U95</f>
        <v>0</v>
      </c>
      <c r="AC95" s="284" t="n">
        <f aca="false">$E95*F95</f>
        <v>0</v>
      </c>
      <c r="AD95" s="244" t="n">
        <f aca="false">E95*H95</f>
        <v>0</v>
      </c>
      <c r="AE95" s="244" t="n">
        <f aca="false">E95*I95</f>
        <v>0</v>
      </c>
      <c r="AF95" s="244" t="n">
        <f aca="false">E95*J95</f>
        <v>0</v>
      </c>
      <c r="AG95" s="244" t="n">
        <f aca="false">E95*K95</f>
        <v>0</v>
      </c>
      <c r="AH95" s="244" t="n">
        <f aca="false">E95*L95</f>
        <v>0</v>
      </c>
      <c r="AI95" s="246" t="n">
        <f aca="false">E95*M95</f>
        <v>0</v>
      </c>
      <c r="AJ95" s="245" t="n">
        <f aca="false">$E95*N95</f>
        <v>0</v>
      </c>
      <c r="AK95" s="244" t="n">
        <f aca="false">E95*O95</f>
        <v>0</v>
      </c>
      <c r="AL95" s="244" t="n">
        <f aca="false">E95*P95</f>
        <v>0</v>
      </c>
      <c r="AM95" s="244" t="n">
        <f aca="false">E95*Q95</f>
        <v>0</v>
      </c>
      <c r="AN95" s="244" t="n">
        <f aca="false">E95*R95</f>
        <v>0</v>
      </c>
      <c r="AO95" s="244" t="n">
        <f aca="false">E95*Z95</f>
        <v>0</v>
      </c>
      <c r="AP95" s="244" t="n">
        <f aca="false">E95*T95</f>
        <v>0</v>
      </c>
      <c r="AQ95" s="246" t="n">
        <f aca="false">E95*U95</f>
        <v>0</v>
      </c>
      <c r="AR95" s="3" t="n">
        <f aca="false">AC95-AJ95</f>
        <v>0</v>
      </c>
      <c r="AS95" s="3" t="n">
        <f aca="false">AD95-AK95-AL95</f>
        <v>0</v>
      </c>
      <c r="AT95" s="3" t="n">
        <f aca="false">AE95-AM95</f>
        <v>0</v>
      </c>
      <c r="AU95" s="3" t="n">
        <f aca="false">AF95-AN95</f>
        <v>0</v>
      </c>
      <c r="AV95" s="3" t="n">
        <f aca="false">AG95-AO95</f>
        <v>0</v>
      </c>
      <c r="AW95" s="3" t="n">
        <f aca="false">AH95-AP95</f>
        <v>0</v>
      </c>
      <c r="AX95" s="238" t="n">
        <f aca="false">AI95-AQ95</f>
        <v>0</v>
      </c>
      <c r="AY95" s="72" t="n">
        <f aca="false">E95*$C$23</f>
        <v>0</v>
      </c>
      <c r="AZ95" s="72" t="n">
        <f aca="false">E95*$C$24</f>
        <v>0</v>
      </c>
      <c r="BA95" s="283" t="n">
        <f aca="false">E95*$C$25</f>
        <v>0</v>
      </c>
      <c r="BB95" s="24" t="n">
        <f aca="false">$K$48*AR95</f>
        <v>0</v>
      </c>
      <c r="BC95" s="35" t="n">
        <f aca="false">$L$48*AR95</f>
        <v>0</v>
      </c>
      <c r="BD95" s="2"/>
      <c r="BE95" s="2"/>
      <c r="BF95" s="2"/>
      <c r="BG95" s="2"/>
      <c r="BH95" s="2"/>
      <c r="BI95" s="2"/>
      <c r="BJ95" s="2"/>
      <c r="BK95" s="2"/>
      <c r="BL95" s="2"/>
      <c r="BM95" s="2"/>
    </row>
    <row r="96" customFormat="false" ht="12.75" hidden="false" customHeight="true" outlineLevel="0" collapsed="false">
      <c r="A96" s="2"/>
      <c r="B96" s="247"/>
      <c r="C96" s="248" t="s">
        <v>171</v>
      </c>
      <c r="D96" s="249"/>
      <c r="E96" s="250"/>
      <c r="F96" s="251" t="n">
        <f aca="false">(($E89*F89)+($E90*F90)+($E91*F91)+($E92*F92)+($E93*F93)+($E95*F95))/($E97)</f>
        <v>3.69607843137255</v>
      </c>
      <c r="G96" s="251" t="n">
        <f aca="false">(($E89*G89)+($E90*G90)+($E91*G91)+($E92*G92)+($E93*G93)+($E95*G95))/($E97)</f>
        <v>3.69607843137255</v>
      </c>
      <c r="H96" s="251" t="n">
        <f aca="false">(($E89*H89)+($E90*H90)+($E91*H91)+($E92*H92)+($E93*H93)+($E95*H95))/($E97)</f>
        <v>27.366568627451</v>
      </c>
      <c r="I96" s="251" t="n">
        <f aca="false">(($E89*I89)+($E90*I90)+($E91*I91)+($E92*I92)+($E93*I93)+($E95*I95))/($E97)</f>
        <v>10.1205882352941</v>
      </c>
      <c r="J96" s="251" t="n">
        <f aca="false">(($E89*J89)+($E90*J90)+($E91*J91)+($E92*J92)+($E93*J93)+($E95*J95))/($E97)</f>
        <v>0.0200911764705882</v>
      </c>
      <c r="K96" s="251" t="n">
        <f aca="false">(($E89*K89)+($E90*K90)+($E91*K91)+($E92*K92)+($E93*K93)+($E95*K95))/($E97)</f>
        <v>0.694416666666667</v>
      </c>
      <c r="L96" s="251" t="n">
        <f aca="false">(($E89*L89)+($E90*L90)+($E91*L91)+($E92*L92)+($E93*L93)+($E95*L95))/($E97)</f>
        <v>0</v>
      </c>
      <c r="M96" s="251" t="n">
        <f aca="false">(($E89*M89)+($E90*M90)+($E91*M91)+($E92*M92)+($E93*M93)+($E95*M95))/($E97)</f>
        <v>2.11372549019608</v>
      </c>
      <c r="N96" s="252" t="n">
        <f aca="false">(($E89*N89)+($E90*N90)+($E91*N91)+($E92*N92)+($E93*N93)+($E95*N95))/($E97)</f>
        <v>8.58708333333333</v>
      </c>
      <c r="O96" s="251" t="n">
        <f aca="false">(($E89*O89)+($E90*O90)+($E91*O91)+($E92*O92)+($E93*O93)+($E95*O95))/($E97)</f>
        <v>2.27483691176471</v>
      </c>
      <c r="P96" s="251" t="n">
        <f aca="false">(($E89*P89)+($E90*P90)+($E91*P91)+($E92*P92)+($E93*P93)+($E95*P95))/($E97)</f>
        <v>11.4695009803922</v>
      </c>
      <c r="Q96" s="251" t="n">
        <f aca="false">(($E89*Q89)+($E90*Q90)+($E91*Q91)+($E92*Q92)+($E93*Q93)+($E95*Q95))/($E97)</f>
        <v>3.61058823529412</v>
      </c>
      <c r="R96" s="251" t="n">
        <f aca="false">(($E89*R89)+($E90*R90)+($E91*R91)+($E92*R92)+($E93*R93)+($E95*R95))/($E97)</f>
        <v>0.00401823529411765</v>
      </c>
      <c r="S96" s="251" t="n">
        <f aca="false">(($E89*S89)+($E90*S90)+($E91*S91)+($E92*S92)+($E93*S93)+($E95*S95))/($E97)</f>
        <v>0</v>
      </c>
      <c r="T96" s="251" t="n">
        <f aca="false">(($E89*T89)+($E90*T90)+($E91*T91)+($E92*T92)+($E93*T93)+($E95*T95))/($E97)</f>
        <v>0</v>
      </c>
      <c r="U96" s="251" t="n">
        <f aca="false">(($E89*U89)+($E90*U90)+($E91*U91)+($E92*U92)+($E93*U93)+($E95*U95))/($E97)</f>
        <v>0</v>
      </c>
      <c r="V96" s="253" t="n">
        <f aca="false">(($E89*V89)+($E90*V90)+($E91*V91)+($E92*V92)+($E93*V93)+($E95*V95))/($E97)</f>
        <v>-4.89100490196078</v>
      </c>
      <c r="W96" s="251" t="n">
        <f aca="false">(($E89*W89)+($E90*W90)+($E91*W91)+($E92*W92)+($E93*W93)+($E95*W95))/($E97)</f>
        <v>13.6222307352941</v>
      </c>
      <c r="X96" s="251" t="n">
        <f aca="false">(($E89*X89)+($E90*X90)+($E91*X91)+($E92*X92)+($E93*X93)+($E95*X95))/($E97)</f>
        <v>6.51</v>
      </c>
      <c r="Y96" s="251" t="n">
        <f aca="false">(($E89*Y89)+($E90*Y90)+($E91*Y91)+($E92*Y92)+($E93*Y93)+($E95*Y95))/($E97)</f>
        <v>0.0160729411764706</v>
      </c>
      <c r="Z96" s="251" t="n">
        <f aca="false">(($E89*Z89)+($E90*Z90)+($E91*Z91)+($E92*Z92)+($E93*Z93)+($E95*Z95))/($E97)</f>
        <v>0.694416666666667</v>
      </c>
      <c r="AA96" s="251" t="n">
        <f aca="false">(($E89*AA89)+($E90*AA90)+($E91*AA91)+($E92*AA92)+($E93*AA93)+($E95*AA95))/($E97)</f>
        <v>0</v>
      </c>
      <c r="AB96" s="251" t="n">
        <f aca="false">(($E89*AB89)+($E90*AB90)+($E91*AB91)+($E92*AB92)+($E93*AB93)+($E95*AB95))/($E97)</f>
        <v>2.11372549019608</v>
      </c>
      <c r="AC96" s="253" t="n">
        <f aca="false">SUM(AC89:AC95)/$E97</f>
        <v>4.43137254901961</v>
      </c>
      <c r="AD96" s="251" t="n">
        <f aca="false">SUM(AD89:AD95)/$E97</f>
        <v>27.366568627451</v>
      </c>
      <c r="AE96" s="251" t="n">
        <f aca="false">SUM(AE89:AE95)/$E97</f>
        <v>10.3941176470588</v>
      </c>
      <c r="AF96" s="251" t="n">
        <f aca="false">SUM(AF89:AF95)/$E97</f>
        <v>0.0207</v>
      </c>
      <c r="AG96" s="251" t="n">
        <f aca="false">SUM(AG89:AG95)/$E97</f>
        <v>1.11106666666667</v>
      </c>
      <c r="AH96" s="251" t="n">
        <f aca="false">SUM(AH89:AH95)/$E97</f>
        <v>0</v>
      </c>
      <c r="AI96" s="251" t="n">
        <f aca="false">SUM(AI89:AI95)/$E97</f>
        <v>2.11372549019608</v>
      </c>
      <c r="AJ96" s="252" t="n">
        <f aca="false">SUM(AJ89:AJ95)/$E97</f>
        <v>9.59046568627451</v>
      </c>
      <c r="AK96" s="251" t="n">
        <f aca="false">SUM(AK89:AK95)/$E97</f>
        <v>2.38513102941176</v>
      </c>
      <c r="AL96" s="251" t="n">
        <f aca="false">SUM(AL89:AL95)/$E97</f>
        <v>11.4695009803922</v>
      </c>
      <c r="AM96" s="251" t="n">
        <f aca="false">SUM(AM89:AM95)/$E97</f>
        <v>3.72</v>
      </c>
      <c r="AN96" s="251" t="n">
        <f aca="false">SUM(AN89:AN95)/$E97</f>
        <v>0.00414</v>
      </c>
      <c r="AO96" s="251" t="n">
        <f aca="false">SUM(AO89:AO95)/$E97</f>
        <v>1.11106666666667</v>
      </c>
      <c r="AP96" s="251" t="n">
        <f aca="false">SUM(AP89:AP95)/$E97</f>
        <v>0</v>
      </c>
      <c r="AQ96" s="251" t="n">
        <f aca="false">SUM(AQ89:AQ95)/$E97</f>
        <v>0</v>
      </c>
      <c r="AR96" s="252" t="n">
        <f aca="false">SUM(AR89:AR95)/$E97</f>
        <v>-5.1590931372549</v>
      </c>
      <c r="AS96" s="251" t="n">
        <f aca="false">SUM(AS89:AS95)/$E97</f>
        <v>13.5119366176471</v>
      </c>
      <c r="AT96" s="251" t="n">
        <f aca="false">SUM(AT89:AT95)/$E97</f>
        <v>6.67411764705882</v>
      </c>
      <c r="AU96" s="251" t="n">
        <f aca="false">SUM(AU89:AU95)/$E97</f>
        <v>0.01656</v>
      </c>
      <c r="AV96" s="251" t="n">
        <f aca="false">SUM(AV89:AV95)/$E97</f>
        <v>0</v>
      </c>
      <c r="AW96" s="251" t="n">
        <f aca="false">SUM(AW89:AW95)/$E97</f>
        <v>0</v>
      </c>
      <c r="AX96" s="251" t="n">
        <f aca="false">SUM(AX89:AX95)/$E97</f>
        <v>2.11372549019608</v>
      </c>
      <c r="AY96" s="254" t="n">
        <f aca="false">SUM(AY89:AY95)/$E97</f>
        <v>229</v>
      </c>
      <c r="AZ96" s="255" t="n">
        <f aca="false">SUM(AZ89:AZ95)/$E97</f>
        <v>93</v>
      </c>
      <c r="BA96" s="256" t="n">
        <f aca="false">SUM(BA89:BA95)/$E97</f>
        <v>0.207</v>
      </c>
      <c r="BB96" s="253" t="n">
        <f aca="false">SUM(BB89:BB95)/$E97</f>
        <v>-1.69742647058824</v>
      </c>
      <c r="BC96" s="257" t="n">
        <f aca="false">SUM(BC89:BC95)/$E97</f>
        <v>0</v>
      </c>
      <c r="BD96" s="2"/>
      <c r="BE96" s="2"/>
      <c r="BF96" s="2"/>
      <c r="BG96" s="2"/>
      <c r="BH96" s="2"/>
      <c r="BI96" s="2"/>
      <c r="BJ96" s="2"/>
      <c r="BK96" s="2"/>
      <c r="BL96" s="2"/>
      <c r="BM96" s="2"/>
    </row>
    <row r="97" customFormat="false" ht="12.75" hidden="false" customHeight="true" outlineLevel="0" collapsed="false">
      <c r="A97" s="2"/>
      <c r="B97" s="258"/>
      <c r="C97" s="285" t="s">
        <v>73</v>
      </c>
      <c r="D97" s="260" t="n">
        <f aca="false">SUM(D89:D95)</f>
        <v>1</v>
      </c>
      <c r="E97" s="261" t="n">
        <f aca="false">SUM(E89:E95)</f>
        <v>5100</v>
      </c>
      <c r="F97" s="262"/>
      <c r="G97" s="262"/>
      <c r="H97" s="262"/>
      <c r="I97" s="262"/>
      <c r="J97" s="262"/>
      <c r="K97" s="262"/>
      <c r="L97" s="262"/>
      <c r="M97" s="263"/>
      <c r="N97" s="264"/>
      <c r="O97" s="262"/>
      <c r="P97" s="262"/>
      <c r="Q97" s="262"/>
      <c r="R97" s="262"/>
      <c r="S97" s="262"/>
      <c r="T97" s="262"/>
      <c r="U97" s="262"/>
      <c r="V97" s="265"/>
      <c r="W97" s="262"/>
      <c r="X97" s="262"/>
      <c r="Y97" s="262"/>
      <c r="Z97" s="262"/>
      <c r="AA97" s="262"/>
      <c r="AB97" s="262"/>
      <c r="AC97" s="265" t="n">
        <f aca="false">SUM(AC89:AC95)</f>
        <v>22600</v>
      </c>
      <c r="AD97" s="262" t="n">
        <f aca="false">SUM(AD89:AD95)</f>
        <v>139569.5</v>
      </c>
      <c r="AE97" s="262" t="n">
        <f aca="false">SUM(AE89:AE95)</f>
        <v>53010</v>
      </c>
      <c r="AF97" s="262" t="n">
        <f aca="false">SUM(AF89:AF95)</f>
        <v>105.57</v>
      </c>
      <c r="AG97" s="262" t="n">
        <f aca="false">SUM(AG89:AG95)</f>
        <v>5666.44</v>
      </c>
      <c r="AH97" s="262" t="n">
        <f aca="false">SUM(AH89:AH95)</f>
        <v>0</v>
      </c>
      <c r="AI97" s="262" t="n">
        <f aca="false">SUM(AI89:AI95)</f>
        <v>10780</v>
      </c>
      <c r="AJ97" s="264" t="n">
        <f aca="false">SUM(AJ89:AJ95)</f>
        <v>48911.375</v>
      </c>
      <c r="AK97" s="262" t="n">
        <f aca="false">SUM(AK89:AK95)</f>
        <v>12164.16825</v>
      </c>
      <c r="AL97" s="262" t="n">
        <f aca="false">SUM(AL89:AL95)</f>
        <v>58494.455</v>
      </c>
      <c r="AM97" s="262" t="n">
        <f aca="false">SUM(AM89:AM95)</f>
        <v>18972</v>
      </c>
      <c r="AN97" s="262" t="n">
        <f aca="false">SUM(AN89:AN95)</f>
        <v>21.114</v>
      </c>
      <c r="AO97" s="262" t="n">
        <f aca="false">SUM(AO89:AO95)</f>
        <v>5666.44</v>
      </c>
      <c r="AP97" s="262" t="n">
        <f aca="false">SUM(AP89:AP95)</f>
        <v>0</v>
      </c>
      <c r="AQ97" s="263" t="n">
        <f aca="false">SUM(AQ89:AQ95)</f>
        <v>0</v>
      </c>
      <c r="AR97" s="264" t="n">
        <f aca="false">SUM(AR89:AR95)</f>
        <v>-26311.375</v>
      </c>
      <c r="AS97" s="262" t="n">
        <f aca="false">SUM(AS89:AS95)</f>
        <v>68910.87675</v>
      </c>
      <c r="AT97" s="262" t="n">
        <f aca="false">SUM(AT89:AT95)</f>
        <v>34038</v>
      </c>
      <c r="AU97" s="262" t="n">
        <f aca="false">SUM(AU89:AU95)</f>
        <v>84.456</v>
      </c>
      <c r="AV97" s="262" t="n">
        <f aca="false">SUM(AV89:AV95)</f>
        <v>0</v>
      </c>
      <c r="AW97" s="262" t="n">
        <f aca="false">SUM(AW89:AW95)</f>
        <v>0</v>
      </c>
      <c r="AX97" s="270" t="n">
        <f aca="false">SUM(AX89:AX95)</f>
        <v>10780</v>
      </c>
      <c r="AY97" s="271" t="n">
        <f aca="false">SUM(AY89:AY95)</f>
        <v>1167900</v>
      </c>
      <c r="AZ97" s="272" t="n">
        <f aca="false">SUM(AZ89:AZ95)</f>
        <v>474300</v>
      </c>
      <c r="BA97" s="261" t="n">
        <f aca="false">SUM(BA89:BA95)</f>
        <v>1055.7</v>
      </c>
      <c r="BB97" s="273" t="n">
        <f aca="false">SUM(BB89:BB95)</f>
        <v>-8656.875</v>
      </c>
      <c r="BC97" s="274" t="n">
        <f aca="false">SUM(BC89:BC95)</f>
        <v>0</v>
      </c>
      <c r="BD97" s="2"/>
      <c r="BE97" s="2"/>
      <c r="BF97" s="2"/>
      <c r="BG97" s="2"/>
      <c r="BH97" s="2"/>
      <c r="BI97" s="2"/>
      <c r="BJ97" s="2"/>
      <c r="BK97" s="2"/>
      <c r="BL97" s="2"/>
      <c r="BM97" s="2"/>
    </row>
    <row r="98" customFormat="false" ht="12.75" hidden="false" customHeight="true" outlineLevel="0" collapsed="false">
      <c r="A98" s="2"/>
      <c r="B98" s="138" t="str">
        <f aca="false">B35</f>
        <v>Brand 6</v>
      </c>
      <c r="C98" s="275" t="str">
        <f aca="false">$C$42</f>
        <v>Program 1</v>
      </c>
      <c r="D98" s="286" t="n">
        <f aca="false">D89</f>
        <v>0.27</v>
      </c>
      <c r="E98" s="230" t="n">
        <f aca="false">D98*$D$35</f>
        <v>1350</v>
      </c>
      <c r="F98" s="278" t="n">
        <v>0</v>
      </c>
      <c r="G98" s="3" t="n">
        <f aca="false">$K$42*F98</f>
        <v>0</v>
      </c>
      <c r="H98" s="3" t="n">
        <f aca="false">IF($C$23&gt;$E$42,($C$23-$E$42)*$G$42,0)</f>
        <v>29.77</v>
      </c>
      <c r="I98" s="3" t="n">
        <f aca="false">IF($C$24&gt;$F$42,($C$24-$F$42)*$H$42,0)</f>
        <v>9.3</v>
      </c>
      <c r="J98" s="3" t="n">
        <f aca="false">$C$25*$I$42</f>
        <v>0.0207</v>
      </c>
      <c r="K98" s="3" t="n">
        <f aca="false">IF($E$42&gt;$C$23,($E$42-$C$23)*$C$8,0)</f>
        <v>0</v>
      </c>
      <c r="L98" s="3" t="n">
        <f aca="false">IF($F$42&gt;$C$24,($F$42-$C$24)*$C$9,0)</f>
        <v>0</v>
      </c>
      <c r="M98" s="231" t="n">
        <v>0</v>
      </c>
      <c r="N98" s="232" t="n">
        <f aca="false">$C$2+($E$42*$C$8)+($F$42*$C$9)</f>
        <v>5.27</v>
      </c>
      <c r="O98" s="3" t="n">
        <f aca="false">$C$11*G98+$C$11*P98</f>
        <v>2.201835</v>
      </c>
      <c r="P98" s="3" t="n">
        <f aca="false">IF($C$23&gt;$E$42,($C$23-$E$42)*$C$8,0)</f>
        <v>14.6789</v>
      </c>
      <c r="Q98" s="3" t="n">
        <f aca="false">IF($C$24&gt;$F$42,($C$24-$F$42)*$C$9,0)</f>
        <v>3.72</v>
      </c>
      <c r="R98" s="3" t="n">
        <f aca="false">$C$25*($C$10*10000/1000000)</f>
        <v>0.00414</v>
      </c>
      <c r="S98" s="277" t="n">
        <v>0</v>
      </c>
      <c r="T98" s="277" t="n">
        <v>0</v>
      </c>
      <c r="U98" s="277" t="n">
        <v>0</v>
      </c>
      <c r="V98" s="278" t="n">
        <f aca="false">F98-N98</f>
        <v>-5.27</v>
      </c>
      <c r="W98" s="277" t="n">
        <f aca="false">H98-P98-O98</f>
        <v>12.889265</v>
      </c>
      <c r="X98" s="277" t="n">
        <f aca="false">I98-Q98</f>
        <v>5.58</v>
      </c>
      <c r="Y98" s="277" t="n">
        <f aca="false">J98-R98</f>
        <v>0.01656</v>
      </c>
      <c r="Z98" s="277" t="n">
        <f aca="false">K98-S98</f>
        <v>0</v>
      </c>
      <c r="AA98" s="277" t="n">
        <f aca="false">L98-T98</f>
        <v>0</v>
      </c>
      <c r="AB98" s="277" t="n">
        <f aca="false">M98-U98</f>
        <v>0</v>
      </c>
      <c r="AC98" s="278" t="n">
        <f aca="false">$E98*F98</f>
        <v>0</v>
      </c>
      <c r="AD98" s="277" t="n">
        <f aca="false">E98*H98</f>
        <v>40189.5</v>
      </c>
      <c r="AE98" s="277" t="n">
        <f aca="false">E98*I98</f>
        <v>12555</v>
      </c>
      <c r="AF98" s="277" t="n">
        <f aca="false">E98*J98</f>
        <v>27.945</v>
      </c>
      <c r="AG98" s="277" t="n">
        <f aca="false">E98*K98</f>
        <v>0</v>
      </c>
      <c r="AH98" s="277" t="n">
        <f aca="false">E98*L98</f>
        <v>0</v>
      </c>
      <c r="AI98" s="279" t="n">
        <f aca="false">E98*M98</f>
        <v>0</v>
      </c>
      <c r="AJ98" s="280" t="n">
        <f aca="false">$E98*N98</f>
        <v>7114.5</v>
      </c>
      <c r="AK98" s="277" t="n">
        <f aca="false">E98*O98</f>
        <v>2972.47725</v>
      </c>
      <c r="AL98" s="277" t="n">
        <f aca="false">E98*P98</f>
        <v>19816.515</v>
      </c>
      <c r="AM98" s="277" t="n">
        <f aca="false">E98*Q98</f>
        <v>5022</v>
      </c>
      <c r="AN98" s="277" t="n">
        <f aca="false">E98*R98</f>
        <v>5.589</v>
      </c>
      <c r="AO98" s="277" t="n">
        <f aca="false">E98*Z98</f>
        <v>0</v>
      </c>
      <c r="AP98" s="277" t="n">
        <f aca="false">E98*T98</f>
        <v>0</v>
      </c>
      <c r="AQ98" s="279" t="n">
        <f aca="false">E98*U98</f>
        <v>0</v>
      </c>
      <c r="AR98" s="3" t="n">
        <f aca="false">AC98-AJ98</f>
        <v>-7114.5</v>
      </c>
      <c r="AS98" s="3" t="n">
        <f aca="false">AD98-AK98-AL98</f>
        <v>17400.50775</v>
      </c>
      <c r="AT98" s="3" t="n">
        <f aca="false">AE98-AM98</f>
        <v>7533</v>
      </c>
      <c r="AU98" s="3" t="n">
        <f aca="false">AF98-AN98</f>
        <v>22.356</v>
      </c>
      <c r="AV98" s="3" t="n">
        <f aca="false">AG98-AO98</f>
        <v>0</v>
      </c>
      <c r="AW98" s="3" t="n">
        <f aca="false">AH98-AP98</f>
        <v>0</v>
      </c>
      <c r="AX98" s="238" t="n">
        <f aca="false">AI98-AQ98</f>
        <v>0</v>
      </c>
      <c r="AY98" s="5" t="n">
        <f aca="false">E98*$C$23</f>
        <v>309150</v>
      </c>
      <c r="AZ98" s="5" t="n">
        <f aca="false">E98*$C$24</f>
        <v>125550</v>
      </c>
      <c r="BA98" s="230" t="n">
        <f aca="false">E98*$C$25</f>
        <v>279.45</v>
      </c>
      <c r="BB98" s="24" t="n">
        <f aca="false">$K$42*AR98</f>
        <v>-0</v>
      </c>
      <c r="BC98" s="35" t="n">
        <f aca="false">$L$42*AR98</f>
        <v>-0</v>
      </c>
      <c r="BD98" s="2"/>
      <c r="BE98" s="2"/>
      <c r="BF98" s="2"/>
      <c r="BG98" s="2"/>
      <c r="BH98" s="2"/>
      <c r="BI98" s="2"/>
      <c r="BJ98" s="2"/>
      <c r="BK98" s="2"/>
      <c r="BL98" s="2"/>
      <c r="BM98" s="2"/>
    </row>
    <row r="99" customFormat="false" ht="12.75" hidden="false" customHeight="true" outlineLevel="0" collapsed="false">
      <c r="A99" s="2"/>
      <c r="B99" s="56"/>
      <c r="C99" s="25" t="str">
        <f aca="false">$C$43</f>
        <v>Program 2</v>
      </c>
      <c r="D99" s="281" t="n">
        <f aca="false">D90</f>
        <v>0.4</v>
      </c>
      <c r="E99" s="230" t="n">
        <f aca="false">D99*$D$35</f>
        <v>2000</v>
      </c>
      <c r="F99" s="235" t="n">
        <v>0</v>
      </c>
      <c r="G99" s="3" t="n">
        <f aca="false">$K$43*F99</f>
        <v>0</v>
      </c>
      <c r="H99" s="3" t="n">
        <f aca="false">IF($C$23&gt;$E$43,($C$23-$E$43)*$G$43,0)</f>
        <v>38.93</v>
      </c>
      <c r="I99" s="3" t="n">
        <f aca="false">IF($C$24&gt;$F$43,($C$24-$F$43)*$H$43,0)</f>
        <v>12.09</v>
      </c>
      <c r="J99" s="3" t="n">
        <f aca="false">$C$25*$I$43</f>
        <v>0.0207</v>
      </c>
      <c r="K99" s="3" t="n">
        <f aca="false">IF($E$43&gt;$C$23,($E$43-$C$23)*$C$8,0)</f>
        <v>0</v>
      </c>
      <c r="L99" s="3" t="n">
        <f aca="false">IF($F$43&gt;$C$24,($F$43-$C$24)*$C$9,0)</f>
        <v>0</v>
      </c>
      <c r="M99" s="231" t="n">
        <v>4.2</v>
      </c>
      <c r="N99" s="232" t="n">
        <f aca="false">$C$2+($E$43*$C$8)+($F$43*$C$9)</f>
        <v>5.27</v>
      </c>
      <c r="O99" s="3" t="n">
        <f aca="false">$C$11*G99+$C$11*P99</f>
        <v>2.201835</v>
      </c>
      <c r="P99" s="3" t="n">
        <f aca="false">IF($C$23&gt;$E$43,($C$23-$E$43)*$C$8,0)</f>
        <v>14.6789</v>
      </c>
      <c r="Q99" s="3" t="n">
        <f aca="false">IF($C$24&gt;$F$43,($C$24-$F$43)*$C$9,0)</f>
        <v>3.72</v>
      </c>
      <c r="R99" s="3" t="n">
        <f aca="false">$C$25*($C$10*10000/1000000)</f>
        <v>0.00414</v>
      </c>
      <c r="S99" s="3" t="n">
        <v>0</v>
      </c>
      <c r="T99" s="3" t="n">
        <v>0</v>
      </c>
      <c r="U99" s="3" t="n">
        <v>0</v>
      </c>
      <c r="V99" s="235" t="n">
        <f aca="false">F99-N99</f>
        <v>-5.27</v>
      </c>
      <c r="W99" s="3" t="n">
        <f aca="false">H99-P99-O99</f>
        <v>22.049265</v>
      </c>
      <c r="X99" s="3" t="n">
        <f aca="false">I99-Q99</f>
        <v>8.37</v>
      </c>
      <c r="Y99" s="3" t="n">
        <f aca="false">J99-R99</f>
        <v>0.01656</v>
      </c>
      <c r="Z99" s="3" t="n">
        <f aca="false">K99-S99</f>
        <v>0</v>
      </c>
      <c r="AA99" s="3" t="n">
        <f aca="false">L99-T99</f>
        <v>0</v>
      </c>
      <c r="AB99" s="3" t="n">
        <f aca="false">M99-U99</f>
        <v>4.2</v>
      </c>
      <c r="AC99" s="235" t="n">
        <f aca="false">$E99*F99</f>
        <v>0</v>
      </c>
      <c r="AD99" s="3" t="n">
        <f aca="false">E99*H99</f>
        <v>77860</v>
      </c>
      <c r="AE99" s="3" t="n">
        <f aca="false">E99*I99</f>
        <v>24180</v>
      </c>
      <c r="AF99" s="3" t="n">
        <f aca="false">E99*J99</f>
        <v>41.4</v>
      </c>
      <c r="AG99" s="3" t="n">
        <f aca="false">E99*K99</f>
        <v>0</v>
      </c>
      <c r="AH99" s="3" t="n">
        <f aca="false">E99*L99</f>
        <v>0</v>
      </c>
      <c r="AI99" s="231" t="n">
        <f aca="false">E99*M99</f>
        <v>8400</v>
      </c>
      <c r="AJ99" s="232" t="n">
        <f aca="false">$E99*N99</f>
        <v>10540</v>
      </c>
      <c r="AK99" s="3" t="n">
        <f aca="false">E99*O99</f>
        <v>4403.67</v>
      </c>
      <c r="AL99" s="3" t="n">
        <f aca="false">E99*P99</f>
        <v>29357.8</v>
      </c>
      <c r="AM99" s="3" t="n">
        <f aca="false">E99*Q99</f>
        <v>7440</v>
      </c>
      <c r="AN99" s="3" t="n">
        <f aca="false">E99*R99</f>
        <v>8.28</v>
      </c>
      <c r="AO99" s="3" t="n">
        <f aca="false">E99*Z99</f>
        <v>0</v>
      </c>
      <c r="AP99" s="3" t="n">
        <f aca="false">E99*T99</f>
        <v>0</v>
      </c>
      <c r="AQ99" s="231" t="n">
        <f aca="false">E99*U99</f>
        <v>0</v>
      </c>
      <c r="AR99" s="3" t="n">
        <f aca="false">AC99-AJ99</f>
        <v>-10540</v>
      </c>
      <c r="AS99" s="3" t="n">
        <f aca="false">AD99-AK99-AL99</f>
        <v>44098.53</v>
      </c>
      <c r="AT99" s="3" t="n">
        <f aca="false">AE99-AM99</f>
        <v>16740</v>
      </c>
      <c r="AU99" s="3" t="n">
        <f aca="false">AF99-AN99</f>
        <v>33.12</v>
      </c>
      <c r="AV99" s="3" t="n">
        <f aca="false">AG99-AO99</f>
        <v>0</v>
      </c>
      <c r="AW99" s="3" t="n">
        <f aca="false">AH99-AP99</f>
        <v>0</v>
      </c>
      <c r="AX99" s="238" t="n">
        <f aca="false">AI99-AQ99</f>
        <v>8400</v>
      </c>
      <c r="AY99" s="5" t="n">
        <f aca="false">E99*$C$23</f>
        <v>458000</v>
      </c>
      <c r="AZ99" s="5" t="n">
        <f aca="false">E99*$C$24</f>
        <v>186000</v>
      </c>
      <c r="BA99" s="230" t="n">
        <f aca="false">E99*$C$25</f>
        <v>414</v>
      </c>
      <c r="BB99" s="24" t="n">
        <f aca="false">$K$43*AR99</f>
        <v>-0</v>
      </c>
      <c r="BC99" s="35" t="n">
        <f aca="false">$L$43*AR99</f>
        <v>-0</v>
      </c>
      <c r="BD99" s="2"/>
      <c r="BE99" s="2"/>
      <c r="BF99" s="2"/>
      <c r="BG99" s="2"/>
      <c r="BH99" s="2"/>
      <c r="BI99" s="2"/>
      <c r="BJ99" s="2"/>
      <c r="BK99" s="2"/>
      <c r="BL99" s="2"/>
      <c r="BM99" s="2"/>
    </row>
    <row r="100" customFormat="false" ht="12.75" hidden="false" customHeight="true" outlineLevel="0" collapsed="false">
      <c r="A100" s="2"/>
      <c r="B100" s="56"/>
      <c r="C100" s="25" t="str">
        <f aca="false">$C$44</f>
        <v>Program 3</v>
      </c>
      <c r="D100" s="281" t="n">
        <f aca="false">D91</f>
        <v>0.17</v>
      </c>
      <c r="E100" s="230" t="n">
        <f aca="false">D100*$D$35</f>
        <v>850</v>
      </c>
      <c r="F100" s="235" t="n">
        <v>6</v>
      </c>
      <c r="G100" s="3" t="n">
        <f aca="false">$K$44*F100</f>
        <v>6</v>
      </c>
      <c r="H100" s="3" t="n">
        <f aca="false">IF($C$23&gt;$E$44,($C$23-$E$44)*$G$44,0)</f>
        <v>23.1</v>
      </c>
      <c r="I100" s="3" t="n">
        <f aca="false">IF($C$24&gt;$F$44,($C$24-$F$44)*$H$44,0)</f>
        <v>9.3</v>
      </c>
      <c r="J100" s="3" t="n">
        <f aca="false">$C$25*$I$44</f>
        <v>0.0207</v>
      </c>
      <c r="K100" s="3" t="n">
        <f aca="false">IF($E$44&gt;$C$23,($E$44-$C$23)*$C$8,0)</f>
        <v>0</v>
      </c>
      <c r="L100" s="3" t="n">
        <f aca="false">IF($F$44&gt;$C$24,($F$44-$C$24)*$C$9,0)</f>
        <v>0</v>
      </c>
      <c r="M100" s="231" t="n">
        <v>2.8</v>
      </c>
      <c r="N100" s="232" t="n">
        <f aca="false">$C$2+($E$44*$C$8)+($F$44*$C$9)</f>
        <v>10.0775</v>
      </c>
      <c r="O100" s="3" t="n">
        <f aca="false">$C$11*G100+$C$11*P100</f>
        <v>2.38071</v>
      </c>
      <c r="P100" s="3" t="n">
        <f aca="false">IF($C$23&gt;$E$44,($C$23-$E$44)*$C$8,0)</f>
        <v>9.8714</v>
      </c>
      <c r="Q100" s="3" t="n">
        <f aca="false">IF($C$24&gt;$F$44,($C$24-$F$44)*$C$9,0)</f>
        <v>3.72</v>
      </c>
      <c r="R100" s="3" t="n">
        <f aca="false">$C$25*($C$10*10000/1000000)</f>
        <v>0.00414</v>
      </c>
      <c r="S100" s="3" t="n">
        <v>0</v>
      </c>
      <c r="T100" s="3" t="n">
        <v>0</v>
      </c>
      <c r="U100" s="3" t="n">
        <v>0</v>
      </c>
      <c r="V100" s="235" t="n">
        <f aca="false">F100-N100</f>
        <v>-4.0775</v>
      </c>
      <c r="W100" s="3" t="n">
        <f aca="false">H100-P100-O100</f>
        <v>10.84789</v>
      </c>
      <c r="X100" s="3" t="n">
        <f aca="false">I100-Q100</f>
        <v>5.58</v>
      </c>
      <c r="Y100" s="3" t="n">
        <f aca="false">J100-R100</f>
        <v>0.01656</v>
      </c>
      <c r="Z100" s="3" t="n">
        <f aca="false">K100-S100</f>
        <v>0</v>
      </c>
      <c r="AA100" s="3" t="n">
        <f aca="false">L100-T100</f>
        <v>0</v>
      </c>
      <c r="AB100" s="3" t="n">
        <f aca="false">M100-U100</f>
        <v>2.8</v>
      </c>
      <c r="AC100" s="235" t="n">
        <f aca="false">$E100*F100</f>
        <v>5100</v>
      </c>
      <c r="AD100" s="3" t="n">
        <f aca="false">E100*H100</f>
        <v>19635</v>
      </c>
      <c r="AE100" s="3" t="n">
        <f aca="false">E100*I100</f>
        <v>7905</v>
      </c>
      <c r="AF100" s="3" t="n">
        <f aca="false">E100*J100</f>
        <v>17.595</v>
      </c>
      <c r="AG100" s="3" t="n">
        <f aca="false">E100*K100</f>
        <v>0</v>
      </c>
      <c r="AH100" s="3" t="n">
        <f aca="false">E100*L100</f>
        <v>0</v>
      </c>
      <c r="AI100" s="231" t="n">
        <f aca="false">E100*M100</f>
        <v>2380</v>
      </c>
      <c r="AJ100" s="232" t="n">
        <f aca="false">$E100*N100</f>
        <v>8565.875</v>
      </c>
      <c r="AK100" s="3" t="n">
        <f aca="false">E100*O100</f>
        <v>2023.6035</v>
      </c>
      <c r="AL100" s="3" t="n">
        <f aca="false">E100*P100</f>
        <v>8390.69</v>
      </c>
      <c r="AM100" s="3" t="n">
        <f aca="false">E100*Q100</f>
        <v>3162</v>
      </c>
      <c r="AN100" s="3" t="n">
        <f aca="false">E100*R100</f>
        <v>3.519</v>
      </c>
      <c r="AO100" s="3" t="n">
        <f aca="false">E100*Z100</f>
        <v>0</v>
      </c>
      <c r="AP100" s="3" t="n">
        <f aca="false">E100*T100</f>
        <v>0</v>
      </c>
      <c r="AQ100" s="231" t="n">
        <f aca="false">E100*U100</f>
        <v>0</v>
      </c>
      <c r="AR100" s="3" t="n">
        <f aca="false">AC100-AJ100</f>
        <v>-3465.875</v>
      </c>
      <c r="AS100" s="3" t="n">
        <f aca="false">AD100-AK100-AL100</f>
        <v>9220.7065</v>
      </c>
      <c r="AT100" s="3" t="n">
        <f aca="false">AE100-AM100</f>
        <v>4743</v>
      </c>
      <c r="AU100" s="3" t="n">
        <f aca="false">AF100-AN100</f>
        <v>14.076</v>
      </c>
      <c r="AV100" s="3" t="n">
        <f aca="false">AG100-AO100</f>
        <v>0</v>
      </c>
      <c r="AW100" s="3" t="n">
        <f aca="false">AH100-AP100</f>
        <v>0</v>
      </c>
      <c r="AX100" s="238" t="n">
        <f aca="false">AI100-AQ100</f>
        <v>2380</v>
      </c>
      <c r="AY100" s="5" t="n">
        <f aca="false">E100*$C$23</f>
        <v>194650</v>
      </c>
      <c r="AZ100" s="5" t="n">
        <f aca="false">E100*$C$24</f>
        <v>79050</v>
      </c>
      <c r="BA100" s="230" t="n">
        <f aca="false">E100*$C$25</f>
        <v>175.95</v>
      </c>
      <c r="BB100" s="24" t="n">
        <f aca="false">$K$44*AR100</f>
        <v>-3465.875</v>
      </c>
      <c r="BC100" s="35" t="n">
        <f aca="false">$L$44*AR100</f>
        <v>-0</v>
      </c>
      <c r="BD100" s="2"/>
      <c r="BE100" s="2"/>
      <c r="BF100" s="2"/>
      <c r="BG100" s="2"/>
      <c r="BH100" s="2"/>
      <c r="BI100" s="2"/>
      <c r="BJ100" s="2"/>
      <c r="BK100" s="2"/>
      <c r="BL100" s="2"/>
      <c r="BM100" s="2"/>
    </row>
    <row r="101" customFormat="false" ht="12.75" hidden="false" customHeight="true" outlineLevel="0" collapsed="false">
      <c r="A101" s="2"/>
      <c r="B101" s="56"/>
      <c r="C101" s="25" t="str">
        <f aca="false">$C$45</f>
        <v>Program 4</v>
      </c>
      <c r="D101" s="281" t="n">
        <f aca="false">D92</f>
        <v>0.1</v>
      </c>
      <c r="E101" s="230" t="n">
        <f aca="false">D101*$D$35</f>
        <v>500</v>
      </c>
      <c r="F101" s="235" t="n">
        <v>15</v>
      </c>
      <c r="G101" s="3" t="n">
        <f aca="false">$K$45*F101</f>
        <v>15</v>
      </c>
      <c r="H101" s="3" t="n">
        <f aca="false">IF($C$23&gt;$E$45,($C$23-$E$45)*$G$45,0)</f>
        <v>3.77</v>
      </c>
      <c r="I101" s="3" t="n">
        <f aca="false">IF($C$24&gt;$F$45,($C$24-$F$45)*$H$45,0)</f>
        <v>9.3</v>
      </c>
      <c r="J101" s="3" t="n">
        <f aca="false">$C$25*$I$45</f>
        <v>0.0207</v>
      </c>
      <c r="K101" s="3" t="n">
        <f aca="false">IF($E$45&gt;$C$23,($E$45-$C$23)*$C$8,0)</f>
        <v>0</v>
      </c>
      <c r="L101" s="3" t="n">
        <f aca="false">IF($F$45&gt;$C$24,($F$45-$C$24)*$C$9,0)</f>
        <v>0</v>
      </c>
      <c r="M101" s="231" t="n">
        <v>0</v>
      </c>
      <c r="N101" s="232" t="n">
        <f aca="false">$C$2+($E$45*$C$8)+($F$45*$C$9)</f>
        <v>18.09</v>
      </c>
      <c r="O101" s="3" t="n">
        <f aca="false">$C$11*G101+$C$11*P101</f>
        <v>2.528835</v>
      </c>
      <c r="P101" s="3" t="n">
        <f aca="false">IF($C$23&gt;$E$45,($C$23-$E$45)*$C$8,0)</f>
        <v>1.8589</v>
      </c>
      <c r="Q101" s="3" t="n">
        <f aca="false">IF($C$24&gt;$F$45,($C$24-$F$45)*$C$9,0)</f>
        <v>3.72</v>
      </c>
      <c r="R101" s="3" t="n">
        <f aca="false">$C$25*($C$10*10000/1000000)</f>
        <v>0.00414</v>
      </c>
      <c r="S101" s="3" t="n">
        <v>0</v>
      </c>
      <c r="T101" s="3" t="n">
        <v>0</v>
      </c>
      <c r="U101" s="3" t="n">
        <v>0</v>
      </c>
      <c r="V101" s="235" t="n">
        <f aca="false">F101-N101</f>
        <v>-3.09</v>
      </c>
      <c r="W101" s="3" t="n">
        <f aca="false">H101-P101-O101</f>
        <v>-0.617735</v>
      </c>
      <c r="X101" s="3" t="n">
        <f aca="false">I101-Q101</f>
        <v>5.58</v>
      </c>
      <c r="Y101" s="3" t="n">
        <f aca="false">J101-R101</f>
        <v>0.01656</v>
      </c>
      <c r="Z101" s="3" t="n">
        <f aca="false">K101-S101</f>
        <v>0</v>
      </c>
      <c r="AA101" s="3" t="n">
        <f aca="false">L101-T101</f>
        <v>0</v>
      </c>
      <c r="AB101" s="3" t="n">
        <f aca="false">M101-U101</f>
        <v>0</v>
      </c>
      <c r="AC101" s="235" t="n">
        <f aca="false">$E101*F101</f>
        <v>7500</v>
      </c>
      <c r="AD101" s="3" t="n">
        <f aca="false">E101*H101</f>
        <v>1885</v>
      </c>
      <c r="AE101" s="3" t="n">
        <f aca="false">E101*I101</f>
        <v>4650</v>
      </c>
      <c r="AF101" s="3" t="n">
        <f aca="false">E101*J101</f>
        <v>10.35</v>
      </c>
      <c r="AG101" s="3" t="n">
        <f aca="false">E101*K101</f>
        <v>0</v>
      </c>
      <c r="AH101" s="3" t="n">
        <f aca="false">E101*L101</f>
        <v>0</v>
      </c>
      <c r="AI101" s="231" t="n">
        <f aca="false">E101*M101</f>
        <v>0</v>
      </c>
      <c r="AJ101" s="232" t="n">
        <f aca="false">$E101*N101</f>
        <v>9045</v>
      </c>
      <c r="AK101" s="3" t="n">
        <f aca="false">E101*O101</f>
        <v>1264.4175</v>
      </c>
      <c r="AL101" s="3" t="n">
        <f aca="false">E101*P101</f>
        <v>929.45</v>
      </c>
      <c r="AM101" s="3" t="n">
        <f aca="false">E101*Q101</f>
        <v>1860</v>
      </c>
      <c r="AN101" s="3" t="n">
        <f aca="false">E101*R101</f>
        <v>2.07</v>
      </c>
      <c r="AO101" s="3" t="n">
        <f aca="false">E101*Z101</f>
        <v>0</v>
      </c>
      <c r="AP101" s="3" t="n">
        <f aca="false">E101*T101</f>
        <v>0</v>
      </c>
      <c r="AQ101" s="231" t="n">
        <f aca="false">E101*U101</f>
        <v>0</v>
      </c>
      <c r="AR101" s="3" t="n">
        <f aca="false">AC101-AJ101</f>
        <v>-1545</v>
      </c>
      <c r="AS101" s="3" t="n">
        <f aca="false">AD101-AK101-AL101</f>
        <v>-308.8675</v>
      </c>
      <c r="AT101" s="3" t="n">
        <f aca="false">AE101-AM101</f>
        <v>2790</v>
      </c>
      <c r="AU101" s="3" t="n">
        <f aca="false">AF101-AN101</f>
        <v>8.28</v>
      </c>
      <c r="AV101" s="3" t="n">
        <f aca="false">AG101-AO101</f>
        <v>0</v>
      </c>
      <c r="AW101" s="3" t="n">
        <f aca="false">AH101-AP101</f>
        <v>0</v>
      </c>
      <c r="AX101" s="238" t="n">
        <f aca="false">AI101-AQ101</f>
        <v>0</v>
      </c>
      <c r="AY101" s="5" t="n">
        <f aca="false">E101*$C$23</f>
        <v>114500</v>
      </c>
      <c r="AZ101" s="5" t="n">
        <f aca="false">E101*$C$24</f>
        <v>46500</v>
      </c>
      <c r="BA101" s="230" t="n">
        <f aca="false">E101*$C$25</f>
        <v>103.5</v>
      </c>
      <c r="BB101" s="24" t="n">
        <f aca="false">$K$45*AR101</f>
        <v>-1545</v>
      </c>
      <c r="BC101" s="35" t="n">
        <f aca="false">$L$45*AR101</f>
        <v>-0</v>
      </c>
      <c r="BD101" s="2"/>
      <c r="BE101" s="2"/>
      <c r="BF101" s="2"/>
      <c r="BG101" s="2"/>
      <c r="BH101" s="2"/>
      <c r="BI101" s="2"/>
      <c r="BJ101" s="2"/>
      <c r="BK101" s="2"/>
      <c r="BL101" s="2"/>
      <c r="BM101" s="2"/>
    </row>
    <row r="102" customFormat="false" ht="12.75" hidden="false" customHeight="true" outlineLevel="0" collapsed="false">
      <c r="A102" s="2"/>
      <c r="B102" s="56"/>
      <c r="C102" s="25" t="str">
        <f aca="false">$C$46</f>
        <v>Program 5</v>
      </c>
      <c r="D102" s="281" t="n">
        <f aca="false">D93</f>
        <v>0.05</v>
      </c>
      <c r="E102" s="230" t="n">
        <f aca="false">D102*$D$35</f>
        <v>250</v>
      </c>
      <c r="F102" s="235" t="n">
        <v>25</v>
      </c>
      <c r="G102" s="3" t="n">
        <f aca="false">$K$46*F102</f>
        <v>25</v>
      </c>
      <c r="H102" s="3" t="n">
        <f aca="false">IF($C$23&gt;$E$46,($C$23-$E$46)*$G$46,0)</f>
        <v>0</v>
      </c>
      <c r="I102" s="3" t="n">
        <f aca="false">IF($C$24&gt;$F$46,($C$24-$F$46)*$H$46,0)</f>
        <v>9.3</v>
      </c>
      <c r="J102" s="3" t="n">
        <f aca="false">$C$25*$I$46</f>
        <v>0.0207</v>
      </c>
      <c r="K102" s="3" t="n">
        <f aca="false">IF($E$46&gt;$C$23,($E$46-$C$23)*$C$8,0)</f>
        <v>14.1661</v>
      </c>
      <c r="L102" s="3" t="n">
        <f aca="false">IF($F$46&gt;$C$24,($F$46-$C$24)*$C$9,0)</f>
        <v>0</v>
      </c>
      <c r="M102" s="231" t="n">
        <v>0</v>
      </c>
      <c r="N102" s="232" t="n">
        <f aca="false">$C$2+($E$46*$C$8)+($F$46*$C$9)</f>
        <v>34.115</v>
      </c>
      <c r="O102" s="3" t="n">
        <f aca="false">$C$11*G102+$C$11*P102</f>
        <v>3.75</v>
      </c>
      <c r="P102" s="3" t="n">
        <f aca="false">IF($C$23&gt;$E$46,($C$23-$E$46)*$C$8,0)</f>
        <v>0</v>
      </c>
      <c r="Q102" s="3" t="n">
        <f aca="false">IF($C$24&gt;$F$46,($C$24-$F$46)*$C$9,0)</f>
        <v>3.72</v>
      </c>
      <c r="R102" s="3" t="n">
        <f aca="false">$C$25*($C$10*10000/1000000)</f>
        <v>0.00414</v>
      </c>
      <c r="S102" s="3" t="n">
        <v>0</v>
      </c>
      <c r="T102" s="3" t="n">
        <v>0</v>
      </c>
      <c r="U102" s="3" t="n">
        <v>0</v>
      </c>
      <c r="V102" s="235" t="n">
        <f aca="false">F102-N102</f>
        <v>-9.115</v>
      </c>
      <c r="W102" s="3" t="n">
        <f aca="false">H102-P102-O102</f>
        <v>-3.75</v>
      </c>
      <c r="X102" s="3" t="n">
        <f aca="false">I102-Q102</f>
        <v>5.58</v>
      </c>
      <c r="Y102" s="3" t="n">
        <f aca="false">J102-R102</f>
        <v>0.01656</v>
      </c>
      <c r="Z102" s="3" t="n">
        <f aca="false">K102-S102</f>
        <v>14.1661</v>
      </c>
      <c r="AA102" s="3" t="n">
        <f aca="false">L102-T102</f>
        <v>0</v>
      </c>
      <c r="AB102" s="3" t="n">
        <f aca="false">M102-U102</f>
        <v>0</v>
      </c>
      <c r="AC102" s="235" t="n">
        <f aca="false">$E102*F102</f>
        <v>6250</v>
      </c>
      <c r="AD102" s="3" t="n">
        <f aca="false">E102*H102</f>
        <v>0</v>
      </c>
      <c r="AE102" s="3" t="n">
        <f aca="false">E102*I102</f>
        <v>2325</v>
      </c>
      <c r="AF102" s="3" t="n">
        <f aca="false">E102*J102</f>
        <v>5.175</v>
      </c>
      <c r="AG102" s="3" t="n">
        <f aca="false">E102*K102</f>
        <v>3541.525</v>
      </c>
      <c r="AH102" s="3" t="n">
        <f aca="false">E102*L102</f>
        <v>0</v>
      </c>
      <c r="AI102" s="231" t="n">
        <f aca="false">E102*M102</f>
        <v>0</v>
      </c>
      <c r="AJ102" s="232" t="n">
        <f aca="false">$E102*N102</f>
        <v>8528.75</v>
      </c>
      <c r="AK102" s="3" t="n">
        <f aca="false">E102*O102</f>
        <v>937.5</v>
      </c>
      <c r="AL102" s="3" t="n">
        <f aca="false">E102*P102</f>
        <v>0</v>
      </c>
      <c r="AM102" s="3" t="n">
        <f aca="false">E102*Q102</f>
        <v>930</v>
      </c>
      <c r="AN102" s="3" t="n">
        <f aca="false">E102*R102</f>
        <v>1.035</v>
      </c>
      <c r="AO102" s="3" t="n">
        <f aca="false">E102*Z102</f>
        <v>3541.525</v>
      </c>
      <c r="AP102" s="3" t="n">
        <f aca="false">E102*T102</f>
        <v>0</v>
      </c>
      <c r="AQ102" s="231" t="n">
        <f aca="false">E102*U102</f>
        <v>0</v>
      </c>
      <c r="AR102" s="3" t="n">
        <f aca="false">AC102-AJ102</f>
        <v>-2278.75</v>
      </c>
      <c r="AS102" s="3" t="n">
        <f aca="false">AD102-AK102-AL102</f>
        <v>-937.5</v>
      </c>
      <c r="AT102" s="3" t="n">
        <f aca="false">AE102-AM102</f>
        <v>1395</v>
      </c>
      <c r="AU102" s="3" t="n">
        <f aca="false">AF102-AN102</f>
        <v>4.14</v>
      </c>
      <c r="AV102" s="3" t="n">
        <f aca="false">AG102-AO102</f>
        <v>0</v>
      </c>
      <c r="AW102" s="3" t="n">
        <f aca="false">AH102-AP102</f>
        <v>0</v>
      </c>
      <c r="AX102" s="238" t="n">
        <f aca="false">AI102-AQ102</f>
        <v>0</v>
      </c>
      <c r="AY102" s="5" t="n">
        <f aca="false">E102*$C$23</f>
        <v>57250</v>
      </c>
      <c r="AZ102" s="5" t="n">
        <f aca="false">E102*$C$24</f>
        <v>23250</v>
      </c>
      <c r="BA102" s="230" t="n">
        <f aca="false">E102*$C$25</f>
        <v>51.75</v>
      </c>
      <c r="BB102" s="24" t="n">
        <f aca="false">$K$46*AR102</f>
        <v>-2278.75</v>
      </c>
      <c r="BC102" s="35" t="n">
        <f aca="false">$L$46*AR102</f>
        <v>-0</v>
      </c>
      <c r="BD102" s="2"/>
      <c r="BE102" s="2"/>
      <c r="BF102" s="2"/>
      <c r="BG102" s="2"/>
      <c r="BH102" s="2"/>
      <c r="BI102" s="2"/>
      <c r="BJ102" s="2"/>
      <c r="BK102" s="2"/>
      <c r="BL102" s="2"/>
      <c r="BM102" s="2"/>
    </row>
    <row r="103" customFormat="false" ht="12.75" hidden="false" customHeight="true" outlineLevel="0" collapsed="false">
      <c r="A103" s="27"/>
      <c r="B103" s="56"/>
      <c r="C103" s="25" t="str">
        <f aca="false">$C$47</f>
        <v>Program 6</v>
      </c>
      <c r="D103" s="192" t="n">
        <f aca="false">D94</f>
        <v>0.01</v>
      </c>
      <c r="E103" s="230" t="n">
        <f aca="false">D103*$D$30</f>
        <v>150</v>
      </c>
      <c r="F103" s="3" t="n">
        <v>25</v>
      </c>
      <c r="G103" s="3" t="n">
        <f aca="false">$K$46*F103</f>
        <v>25</v>
      </c>
      <c r="H103" s="3" t="n">
        <f aca="false">IF($C$23&gt;$E$46,($C$23-$E$46)*$G$46,0)</f>
        <v>0</v>
      </c>
      <c r="I103" s="3" t="n">
        <f aca="false">IF($C$24&gt;$F$46,($C$24-$F$46)*$H$46,0)</f>
        <v>9.3</v>
      </c>
      <c r="J103" s="3" t="n">
        <f aca="false">$C$25*$I$46</f>
        <v>0.0207</v>
      </c>
      <c r="K103" s="3" t="n">
        <f aca="false">IF($E$46&gt;$C$23,($E$46-$C$23)*$C$8,0)</f>
        <v>14.1661</v>
      </c>
      <c r="L103" s="3" t="n">
        <f aca="false">IF($F$46&gt;$C$24,($F$46-$C$24)*$C$9,0)</f>
        <v>0</v>
      </c>
      <c r="M103" s="231" t="n">
        <v>0</v>
      </c>
      <c r="N103" s="232" t="n">
        <f aca="false">$C$2+($E$46*$C$8)+($F$46*$C$9)</f>
        <v>34.115</v>
      </c>
      <c r="O103" s="3" t="n">
        <f aca="false">$C$11*G103+$C$11*P103</f>
        <v>3.75</v>
      </c>
      <c r="P103" s="3" t="n">
        <f aca="false">IF($C$23&gt;$E$46,($C$23-$E$46)*$C$8,0)</f>
        <v>0</v>
      </c>
      <c r="Q103" s="3" t="n">
        <f aca="false">IF($C$24&gt;$F$46,($C$24-$F$46)*$C$9,0)</f>
        <v>3.72</v>
      </c>
      <c r="R103" s="3" t="n">
        <f aca="false">$C$25*($C$10*10000/1000000)</f>
        <v>0.00414</v>
      </c>
      <c r="S103" s="3" t="n">
        <v>0</v>
      </c>
      <c r="T103" s="3" t="n">
        <v>0</v>
      </c>
      <c r="U103" s="3" t="n">
        <v>0</v>
      </c>
      <c r="V103" s="235" t="n">
        <f aca="false">F103-N103</f>
        <v>-9.115</v>
      </c>
      <c r="W103" s="3" t="n">
        <f aca="false">H103-P103-O103</f>
        <v>-3.75</v>
      </c>
      <c r="X103" s="3" t="n">
        <f aca="false">I103-Q103</f>
        <v>5.58</v>
      </c>
      <c r="Y103" s="3" t="n">
        <f aca="false">J103-R103</f>
        <v>0.01656</v>
      </c>
      <c r="Z103" s="3" t="n">
        <f aca="false">K103-S103</f>
        <v>14.1661</v>
      </c>
      <c r="AA103" s="3" t="n">
        <f aca="false">L103-T103</f>
        <v>0</v>
      </c>
      <c r="AB103" s="3" t="n">
        <f aca="false">M103-U103</f>
        <v>0</v>
      </c>
      <c r="AC103" s="235" t="n">
        <f aca="false">$E103*F103</f>
        <v>3750</v>
      </c>
      <c r="AD103" s="3" t="n">
        <f aca="false">E103*H103</f>
        <v>0</v>
      </c>
      <c r="AE103" s="3" t="n">
        <f aca="false">E103*I103</f>
        <v>1395</v>
      </c>
      <c r="AF103" s="3" t="n">
        <f aca="false">E103*J103</f>
        <v>3.105</v>
      </c>
      <c r="AG103" s="3" t="n">
        <f aca="false">E103*K103</f>
        <v>2124.915</v>
      </c>
      <c r="AH103" s="3" t="n">
        <f aca="false">E103*L103</f>
        <v>0</v>
      </c>
      <c r="AI103" s="3" t="n">
        <f aca="false">E103*M103</f>
        <v>0</v>
      </c>
      <c r="AJ103" s="232" t="n">
        <f aca="false">$E103*N103</f>
        <v>5117.25</v>
      </c>
      <c r="AK103" s="3" t="n">
        <f aca="false">E103*O103</f>
        <v>562.5</v>
      </c>
      <c r="AL103" s="3" t="n">
        <f aca="false">E103*P103</f>
        <v>0</v>
      </c>
      <c r="AM103" s="3" t="n">
        <f aca="false">E103*Q103</f>
        <v>558</v>
      </c>
      <c r="AN103" s="3" t="n">
        <f aca="false">E103*R103</f>
        <v>0.621</v>
      </c>
      <c r="AO103" s="3" t="n">
        <f aca="false">E103*Z103</f>
        <v>2124.915</v>
      </c>
      <c r="AP103" s="3" t="n">
        <f aca="false">E103*T103</f>
        <v>0</v>
      </c>
      <c r="AQ103" s="231" t="n">
        <f aca="false">E103*U103</f>
        <v>0</v>
      </c>
      <c r="AR103" s="3" t="n">
        <f aca="false">AC103-AJ103</f>
        <v>-1367.25</v>
      </c>
      <c r="AS103" s="3" t="n">
        <f aca="false">AD103-AK103-AL103</f>
        <v>-562.5</v>
      </c>
      <c r="AT103" s="3" t="n">
        <f aca="false">AE103-AM103</f>
        <v>837</v>
      </c>
      <c r="AU103" s="3" t="n">
        <f aca="false">AF103-AN103</f>
        <v>2.484</v>
      </c>
      <c r="AV103" s="3" t="n">
        <f aca="false">AG103-AO103</f>
        <v>0</v>
      </c>
      <c r="AW103" s="3" t="n">
        <f aca="false">AH103-AP103</f>
        <v>0</v>
      </c>
      <c r="AX103" s="238" t="n">
        <f aca="false">AI103-AQ103</f>
        <v>0</v>
      </c>
      <c r="AY103" s="5" t="n">
        <f aca="false">E103*$C$23</f>
        <v>34350</v>
      </c>
      <c r="AZ103" s="5" t="n">
        <f aca="false">E103*$C$24</f>
        <v>13950</v>
      </c>
      <c r="BA103" s="230" t="n">
        <f aca="false">E103*$C$25</f>
        <v>31.05</v>
      </c>
      <c r="BB103" s="24" t="n">
        <f aca="false">$K$46*AR103</f>
        <v>-1367.25</v>
      </c>
      <c r="BC103" s="35" t="n">
        <f aca="false">$L$46*AR103</f>
        <v>-0</v>
      </c>
      <c r="BD103" s="2"/>
      <c r="BE103" s="2"/>
      <c r="BF103" s="2"/>
      <c r="BG103" s="2"/>
      <c r="BH103" s="2"/>
      <c r="BI103" s="2"/>
      <c r="BJ103" s="2"/>
      <c r="BK103" s="2"/>
      <c r="BL103" s="2"/>
      <c r="BM103" s="2"/>
    </row>
    <row r="104" customFormat="false" ht="12.75" hidden="false" customHeight="true" outlineLevel="0" collapsed="false">
      <c r="A104" s="2"/>
      <c r="B104" s="30"/>
      <c r="C104" s="32" t="n">
        <f aca="false">$C$48</f>
        <v>0</v>
      </c>
      <c r="D104" s="287" t="n">
        <f aca="false">D95</f>
        <v>0</v>
      </c>
      <c r="E104" s="283" t="n">
        <f aca="false">D104*$D$35</f>
        <v>0</v>
      </c>
      <c r="F104" s="284" t="n">
        <v>35</v>
      </c>
      <c r="G104" s="3" t="n">
        <f aca="false">$K$48*F104</f>
        <v>35</v>
      </c>
      <c r="H104" s="244" t="n">
        <f aca="false">IF($C$23&gt;$E$48,($C$23-$E$48)*$G$48,0)</f>
        <v>0</v>
      </c>
      <c r="I104" s="244" t="n">
        <f aca="false">IF($C$24&gt;$F$48,($C$24-$F$48)*$H$48,0)</f>
        <v>0</v>
      </c>
      <c r="J104" s="244" t="n">
        <f aca="false">$C$25*$I$48</f>
        <v>0</v>
      </c>
      <c r="K104" s="244" t="n">
        <f aca="false">IF($E$48&gt;$C$23,($E$48-$C$23)*$C$8,0)</f>
        <v>0</v>
      </c>
      <c r="L104" s="244" t="n">
        <f aca="false">IF($F$48&gt;$C$24,($F$48-$C$24)*$C$9,0)</f>
        <v>0</v>
      </c>
      <c r="M104" s="246" t="n">
        <v>0</v>
      </c>
      <c r="N104" s="232" t="n">
        <f aca="false">$C$2+($E$48*$C$8)+($F$48*$C$9)</f>
        <v>5.27</v>
      </c>
      <c r="O104" s="3" t="n">
        <f aca="false">$C$11*G104+$C$11*P104</f>
        <v>7.451835</v>
      </c>
      <c r="P104" s="244" t="n">
        <f aca="false">IF($C$23&gt;$E$48,($C$23-$E$48)*$C$8,0)</f>
        <v>14.6789</v>
      </c>
      <c r="Q104" s="244" t="n">
        <f aca="false">IF($C$24&gt;$F$48,($C$24-$F$48)*$C$9,0)</f>
        <v>3.72</v>
      </c>
      <c r="R104" s="244" t="n">
        <f aca="false">$C$25*($C$10*10000/1000000)</f>
        <v>0.00414</v>
      </c>
      <c r="S104" s="244" t="n">
        <v>0</v>
      </c>
      <c r="T104" s="244" t="n">
        <v>0</v>
      </c>
      <c r="U104" s="244" t="n">
        <v>0</v>
      </c>
      <c r="V104" s="284" t="n">
        <f aca="false">F104-N104</f>
        <v>29.73</v>
      </c>
      <c r="W104" s="244" t="n">
        <f aca="false">H104-P104-O104</f>
        <v>-22.130735</v>
      </c>
      <c r="X104" s="244" t="n">
        <f aca="false">I104-Q104</f>
        <v>-3.72</v>
      </c>
      <c r="Y104" s="244" t="n">
        <f aca="false">J104-R104</f>
        <v>-0.00414</v>
      </c>
      <c r="Z104" s="244" t="n">
        <f aca="false">K104-S104</f>
        <v>0</v>
      </c>
      <c r="AA104" s="244" t="n">
        <f aca="false">L104-T104</f>
        <v>0</v>
      </c>
      <c r="AB104" s="244" t="n">
        <f aca="false">M104-U104</f>
        <v>0</v>
      </c>
      <c r="AC104" s="284" t="n">
        <f aca="false">$E104*F104</f>
        <v>0</v>
      </c>
      <c r="AD104" s="244" t="n">
        <f aca="false">E104*H104</f>
        <v>0</v>
      </c>
      <c r="AE104" s="244" t="n">
        <f aca="false">E104*I104</f>
        <v>0</v>
      </c>
      <c r="AF104" s="244" t="n">
        <f aca="false">E104*J104</f>
        <v>0</v>
      </c>
      <c r="AG104" s="244" t="n">
        <f aca="false">E104*K104</f>
        <v>0</v>
      </c>
      <c r="AH104" s="244" t="n">
        <f aca="false">E104*L104</f>
        <v>0</v>
      </c>
      <c r="AI104" s="246" t="n">
        <f aca="false">E104*M104</f>
        <v>0</v>
      </c>
      <c r="AJ104" s="245" t="n">
        <f aca="false">$E104*N104</f>
        <v>0</v>
      </c>
      <c r="AK104" s="244" t="n">
        <f aca="false">E104*O104</f>
        <v>0</v>
      </c>
      <c r="AL104" s="244" t="n">
        <f aca="false">E104*P104</f>
        <v>0</v>
      </c>
      <c r="AM104" s="244" t="n">
        <f aca="false">E104*Q104</f>
        <v>0</v>
      </c>
      <c r="AN104" s="244" t="n">
        <f aca="false">E104*R104</f>
        <v>0</v>
      </c>
      <c r="AO104" s="244" t="n">
        <f aca="false">E104*Z104</f>
        <v>0</v>
      </c>
      <c r="AP104" s="244" t="n">
        <f aca="false">E104*T104</f>
        <v>0</v>
      </c>
      <c r="AQ104" s="246" t="n">
        <f aca="false">E104*U104</f>
        <v>0</v>
      </c>
      <c r="AR104" s="3" t="n">
        <f aca="false">AC104-AJ104</f>
        <v>0</v>
      </c>
      <c r="AS104" s="3" t="n">
        <f aca="false">AD104-AK104-AL104</f>
        <v>0</v>
      </c>
      <c r="AT104" s="3" t="n">
        <f aca="false">AE104-AM104</f>
        <v>0</v>
      </c>
      <c r="AU104" s="3" t="n">
        <f aca="false">AF104-AN104</f>
        <v>0</v>
      </c>
      <c r="AV104" s="3" t="n">
        <f aca="false">AG104-AO104</f>
        <v>0</v>
      </c>
      <c r="AW104" s="3" t="n">
        <f aca="false">AH104-AP104</f>
        <v>0</v>
      </c>
      <c r="AX104" s="238" t="n">
        <f aca="false">AI104-AQ104</f>
        <v>0</v>
      </c>
      <c r="AY104" s="72" t="n">
        <f aca="false">E104*$C$23</f>
        <v>0</v>
      </c>
      <c r="AZ104" s="72" t="n">
        <f aca="false">E104*$C$24</f>
        <v>0</v>
      </c>
      <c r="BA104" s="283" t="n">
        <f aca="false">E104*$C$25</f>
        <v>0</v>
      </c>
      <c r="BB104" s="24" t="n">
        <f aca="false">$K$48*AR104</f>
        <v>0</v>
      </c>
      <c r="BC104" s="35" t="n">
        <f aca="false">$L$48*AR104</f>
        <v>0</v>
      </c>
      <c r="BD104" s="2"/>
      <c r="BE104" s="2"/>
      <c r="BF104" s="2"/>
      <c r="BG104" s="2"/>
      <c r="BH104" s="2"/>
      <c r="BI104" s="2"/>
      <c r="BJ104" s="2"/>
      <c r="BK104" s="2"/>
      <c r="BL104" s="2"/>
      <c r="BM104" s="2"/>
    </row>
    <row r="105" customFormat="false" ht="12.75" hidden="false" customHeight="true" outlineLevel="0" collapsed="false">
      <c r="A105" s="2"/>
      <c r="B105" s="247"/>
      <c r="C105" s="248" t="s">
        <v>171</v>
      </c>
      <c r="D105" s="249"/>
      <c r="E105" s="250"/>
      <c r="F105" s="251" t="n">
        <f aca="false">(($E98*F98)+($E99*F99)+($E100*F100)+($E101*F101)+($E102*F102)+($E104*F104))/($E106)</f>
        <v>3.69607843137255</v>
      </c>
      <c r="G105" s="251" t="n">
        <f aca="false">(($E98*G98)+($E99*G99)+($E100*G100)+($E101*G101)+($E102*G102)+($E104*G104))/($E106)</f>
        <v>3.69607843137255</v>
      </c>
      <c r="H105" s="251" t="n">
        <f aca="false">(($E98*H98)+($E99*H99)+($E100*H100)+($E101*H101)+($E102*H102)+($E104*H104))/($E106)</f>
        <v>27.366568627451</v>
      </c>
      <c r="I105" s="251" t="n">
        <f aca="false">(($E98*I98)+($E99*I99)+($E100*I100)+($E101*I101)+($E102*I102)+($E104*I104))/($E106)</f>
        <v>10.1205882352941</v>
      </c>
      <c r="J105" s="251" t="n">
        <f aca="false">(($E98*J98)+($E99*J99)+($E100*J100)+($E101*J101)+($E102*J102)+($E104*J104))/($E106)</f>
        <v>0.0200911764705882</v>
      </c>
      <c r="K105" s="251" t="n">
        <f aca="false">(($E98*K98)+($E99*K99)+($E100*K100)+($E101*K101)+($E102*K102)+($E104*K104))/($E106)</f>
        <v>0.694416666666667</v>
      </c>
      <c r="L105" s="251" t="n">
        <f aca="false">(($E98*L98)+($E99*L99)+($E100*L100)+($E101*L101)+($E102*L102)+($E104*L104))/($E106)</f>
        <v>0</v>
      </c>
      <c r="M105" s="251" t="n">
        <f aca="false">(($E98*M98)+($E99*M99)+($E100*M100)+($E101*M101)+($E102*M102)+($E104*M104))/($E106)</f>
        <v>2.11372549019608</v>
      </c>
      <c r="N105" s="252" t="n">
        <f aca="false">(($E98*N98)+($E99*N99)+($E100*N100)+($E101*N101)+($E102*N102)+($E104*N104))/($E106)</f>
        <v>8.58708333333333</v>
      </c>
      <c r="O105" s="251" t="n">
        <f aca="false">(($E98*O98)+($E99*O99)+($E100*O100)+($E101*O101)+($E102*O102)+($E104*O104))/($E106)</f>
        <v>2.27483691176471</v>
      </c>
      <c r="P105" s="251" t="n">
        <f aca="false">(($E98*P98)+($E99*P99)+($E100*P100)+($E101*P101)+($E102*P102)+($E104*P104))/($E106)</f>
        <v>11.4695009803922</v>
      </c>
      <c r="Q105" s="251" t="n">
        <f aca="false">(($E98*Q98)+($E99*Q99)+($E100*Q100)+($E101*Q101)+($E102*Q102)+($E104*Q104))/($E106)</f>
        <v>3.61058823529412</v>
      </c>
      <c r="R105" s="251" t="n">
        <f aca="false">(($E98*R98)+($E99*R99)+($E100*R100)+($E101*R101)+($E102*R102)+($E104*R104))/($E106)</f>
        <v>0.00401823529411765</v>
      </c>
      <c r="S105" s="251" t="n">
        <f aca="false">(($E98*S98)+($E99*S99)+($E100*S100)+($E101*S101)+($E102*S102)+($E104*S104))/($E106)</f>
        <v>0</v>
      </c>
      <c r="T105" s="251" t="n">
        <f aca="false">(($E98*T98)+($E99*T99)+($E100*T100)+($E101*T101)+($E102*T102)+($E104*T104))/($E106)</f>
        <v>0</v>
      </c>
      <c r="U105" s="251" t="n">
        <f aca="false">(($E98*U98)+($E99*U99)+($E100*U100)+($E101*U101)+($E102*U102)+($E104*U104))/($E106)</f>
        <v>0</v>
      </c>
      <c r="V105" s="253" t="n">
        <f aca="false">(($E98*V98)+($E99*V99)+($E100*V100)+($E101*V101)+($E102*V102)+($E104*V104))/($E106)</f>
        <v>-4.89100490196078</v>
      </c>
      <c r="W105" s="251" t="n">
        <f aca="false">(($E98*W98)+($E99*W99)+($E100*W100)+($E101*W101)+($E102*W102)+($E104*W104))/($E106)</f>
        <v>13.6222307352941</v>
      </c>
      <c r="X105" s="251" t="n">
        <f aca="false">(($E98*X98)+($E99*X99)+($E100*X100)+($E101*X101)+($E102*X102)+($E104*X104))/($E106)</f>
        <v>6.51</v>
      </c>
      <c r="Y105" s="251" t="n">
        <f aca="false">(($E98*Y98)+($E99*Y99)+($E100*Y100)+($E101*Y101)+($E102*Y102)+($E104*Y104))/($E106)</f>
        <v>0.0160729411764706</v>
      </c>
      <c r="Z105" s="251" t="n">
        <f aca="false">(($E98*Z98)+($E99*Z99)+($E100*Z100)+($E101*Z101)+($E102*Z102)+($E104*Z104))/($E106)</f>
        <v>0.694416666666667</v>
      </c>
      <c r="AA105" s="251" t="n">
        <f aca="false">(($E98*AA98)+($E99*AA99)+($E100*AA100)+($E101*AA101)+($E102*AA102)+($E104*AA104))/($E106)</f>
        <v>0</v>
      </c>
      <c r="AB105" s="251" t="n">
        <f aca="false">(($E98*AB98)+($E99*AB99)+($E100*AB100)+($E101*AB101)+($E102*AB102)+($E104*AB104))/($E106)</f>
        <v>2.11372549019608</v>
      </c>
      <c r="AC105" s="253" t="n">
        <f aca="false">SUM(AC98:AC104)/$E106</f>
        <v>4.43137254901961</v>
      </c>
      <c r="AD105" s="251" t="n">
        <f aca="false">SUM(AD98:AD104)/$E106</f>
        <v>27.366568627451</v>
      </c>
      <c r="AE105" s="251" t="n">
        <f aca="false">SUM(AE98:AE104)/$E106</f>
        <v>10.3941176470588</v>
      </c>
      <c r="AF105" s="251" t="n">
        <f aca="false">SUM(AF98:AF104)/$E106</f>
        <v>0.0207</v>
      </c>
      <c r="AG105" s="251" t="n">
        <f aca="false">SUM(AG98:AG104)/$E106</f>
        <v>1.11106666666667</v>
      </c>
      <c r="AH105" s="251" t="n">
        <f aca="false">SUM(AH98:AH104)/$E106</f>
        <v>0</v>
      </c>
      <c r="AI105" s="251" t="n">
        <f aca="false">SUM(AI98:AI104)/$E106</f>
        <v>2.11372549019608</v>
      </c>
      <c r="AJ105" s="252" t="n">
        <f aca="false">SUM(AJ98:AJ104)/$E106</f>
        <v>9.59046568627451</v>
      </c>
      <c r="AK105" s="251" t="n">
        <f aca="false">SUM(AK98:AK104)/$E106</f>
        <v>2.38513102941176</v>
      </c>
      <c r="AL105" s="251" t="n">
        <f aca="false">SUM(AL98:AL104)/$E106</f>
        <v>11.4695009803922</v>
      </c>
      <c r="AM105" s="251" t="n">
        <f aca="false">SUM(AM98:AM104)/$E106</f>
        <v>3.72</v>
      </c>
      <c r="AN105" s="251" t="n">
        <f aca="false">SUM(AN98:AN104)/$E106</f>
        <v>0.00414</v>
      </c>
      <c r="AO105" s="251" t="n">
        <f aca="false">SUM(AO98:AO104)/$E106</f>
        <v>1.11106666666667</v>
      </c>
      <c r="AP105" s="251" t="n">
        <f aca="false">SUM(AP98:AP104)/$E106</f>
        <v>0</v>
      </c>
      <c r="AQ105" s="251" t="n">
        <f aca="false">SUM(AQ98:AQ104)/$E106</f>
        <v>0</v>
      </c>
      <c r="AR105" s="252" t="n">
        <f aca="false">SUM(AR98:AR104)/$E106</f>
        <v>-5.1590931372549</v>
      </c>
      <c r="AS105" s="251" t="n">
        <f aca="false">SUM(AS98:AS104)/$E106</f>
        <v>13.5119366176471</v>
      </c>
      <c r="AT105" s="251" t="n">
        <f aca="false">SUM(AT98:AT104)/$E106</f>
        <v>6.67411764705882</v>
      </c>
      <c r="AU105" s="251" t="n">
        <f aca="false">SUM(AU98:AU104)/$E106</f>
        <v>0.01656</v>
      </c>
      <c r="AV105" s="251" t="n">
        <f aca="false">SUM(AV98:AV104)/$E106</f>
        <v>0</v>
      </c>
      <c r="AW105" s="251" t="n">
        <f aca="false">SUM(AW98:AW104)/$E106</f>
        <v>0</v>
      </c>
      <c r="AX105" s="251" t="n">
        <f aca="false">SUM(AX98:AX104)/$E106</f>
        <v>2.11372549019608</v>
      </c>
      <c r="AY105" s="254" t="n">
        <f aca="false">SUM(AY98:AY104)/$E106</f>
        <v>229</v>
      </c>
      <c r="AZ105" s="255" t="n">
        <f aca="false">SUM(AZ98:AZ104)/$E106</f>
        <v>93</v>
      </c>
      <c r="BA105" s="256" t="n">
        <f aca="false">SUM(BA98:BA104)/$E106</f>
        <v>0.207</v>
      </c>
      <c r="BB105" s="253" t="n">
        <f aca="false">SUM(BB98:BB104)/$E106</f>
        <v>-1.69742647058824</v>
      </c>
      <c r="BC105" s="257" t="n">
        <f aca="false">SUM(BC98:BC104)/$E106</f>
        <v>0</v>
      </c>
      <c r="BD105" s="2"/>
      <c r="BE105" s="2"/>
      <c r="BF105" s="2"/>
      <c r="BG105" s="2"/>
      <c r="BH105" s="2"/>
      <c r="BI105" s="2"/>
      <c r="BJ105" s="2"/>
      <c r="BK105" s="2"/>
      <c r="BL105" s="2"/>
      <c r="BM105" s="2"/>
    </row>
    <row r="106" customFormat="false" ht="12.75" hidden="false" customHeight="true" outlineLevel="0" collapsed="false">
      <c r="A106" s="2"/>
      <c r="B106" s="258"/>
      <c r="C106" s="285" t="s">
        <v>73</v>
      </c>
      <c r="D106" s="260" t="n">
        <f aca="false">SUM(D98:D104)</f>
        <v>1</v>
      </c>
      <c r="E106" s="261" t="n">
        <f aca="false">SUM(E98:E104)</f>
        <v>5100</v>
      </c>
      <c r="F106" s="262"/>
      <c r="G106" s="262"/>
      <c r="H106" s="262"/>
      <c r="I106" s="262"/>
      <c r="J106" s="262"/>
      <c r="K106" s="262"/>
      <c r="L106" s="262"/>
      <c r="M106" s="263"/>
      <c r="N106" s="264"/>
      <c r="O106" s="262"/>
      <c r="P106" s="262"/>
      <c r="Q106" s="262"/>
      <c r="R106" s="262"/>
      <c r="S106" s="262"/>
      <c r="T106" s="262"/>
      <c r="U106" s="262"/>
      <c r="V106" s="265"/>
      <c r="W106" s="262"/>
      <c r="X106" s="262"/>
      <c r="Y106" s="262"/>
      <c r="Z106" s="262"/>
      <c r="AA106" s="262"/>
      <c r="AB106" s="262"/>
      <c r="AC106" s="265" t="n">
        <f aca="false">SUM(AC98:AC104)</f>
        <v>22600</v>
      </c>
      <c r="AD106" s="262" t="n">
        <f aca="false">SUM(AD98:AD104)</f>
        <v>139569.5</v>
      </c>
      <c r="AE106" s="262" t="n">
        <f aca="false">SUM(AE98:AE104)</f>
        <v>53010</v>
      </c>
      <c r="AF106" s="262" t="n">
        <f aca="false">SUM(AF98:AF104)</f>
        <v>105.57</v>
      </c>
      <c r="AG106" s="262" t="n">
        <f aca="false">SUM(AG98:AG104)</f>
        <v>5666.44</v>
      </c>
      <c r="AH106" s="262" t="n">
        <f aca="false">SUM(AH98:AH104)</f>
        <v>0</v>
      </c>
      <c r="AI106" s="262" t="n">
        <f aca="false">SUM(AI98:AI104)</f>
        <v>10780</v>
      </c>
      <c r="AJ106" s="264" t="n">
        <f aca="false">SUM(AJ98:AJ104)</f>
        <v>48911.375</v>
      </c>
      <c r="AK106" s="262" t="n">
        <f aca="false">SUM(AK98:AK104)</f>
        <v>12164.16825</v>
      </c>
      <c r="AL106" s="262" t="n">
        <f aca="false">SUM(AL98:AL104)</f>
        <v>58494.455</v>
      </c>
      <c r="AM106" s="262" t="n">
        <f aca="false">SUM(AM98:AM104)</f>
        <v>18972</v>
      </c>
      <c r="AN106" s="262" t="n">
        <f aca="false">SUM(AN98:AN104)</f>
        <v>21.114</v>
      </c>
      <c r="AO106" s="262" t="n">
        <f aca="false">SUM(AO98:AO104)</f>
        <v>5666.44</v>
      </c>
      <c r="AP106" s="262" t="n">
        <f aca="false">SUM(AP98:AP104)</f>
        <v>0</v>
      </c>
      <c r="AQ106" s="263" t="n">
        <f aca="false">SUM(AQ98:AQ104)</f>
        <v>0</v>
      </c>
      <c r="AR106" s="264" t="n">
        <f aca="false">SUM(AR98:AR104)</f>
        <v>-26311.375</v>
      </c>
      <c r="AS106" s="262" t="n">
        <f aca="false">SUM(AS98:AS104)</f>
        <v>68910.87675</v>
      </c>
      <c r="AT106" s="262" t="n">
        <f aca="false">SUM(AT98:AT104)</f>
        <v>34038</v>
      </c>
      <c r="AU106" s="262" t="n">
        <f aca="false">SUM(AU98:AU104)</f>
        <v>84.456</v>
      </c>
      <c r="AV106" s="262" t="n">
        <f aca="false">SUM(AV98:AV104)</f>
        <v>0</v>
      </c>
      <c r="AW106" s="262" t="n">
        <f aca="false">SUM(AW98:AW104)</f>
        <v>0</v>
      </c>
      <c r="AX106" s="270" t="n">
        <f aca="false">SUM(AX98:AX104)</f>
        <v>10780</v>
      </c>
      <c r="AY106" s="271" t="n">
        <f aca="false">SUM(AY98:AY104)</f>
        <v>1167900</v>
      </c>
      <c r="AZ106" s="272" t="n">
        <f aca="false">SUM(AZ98:AZ104)</f>
        <v>474300</v>
      </c>
      <c r="BA106" s="261" t="n">
        <f aca="false">SUM(BA98:BA104)</f>
        <v>1055.7</v>
      </c>
      <c r="BB106" s="273" t="n">
        <f aca="false">SUM(BB98:BB104)</f>
        <v>-8656.875</v>
      </c>
      <c r="BC106" s="274" t="n">
        <f aca="false">SUM(BC98:BC104)</f>
        <v>0</v>
      </c>
      <c r="BD106" s="2"/>
      <c r="BE106" s="2"/>
      <c r="BF106" s="2"/>
      <c r="BG106" s="2"/>
      <c r="BH106" s="2"/>
      <c r="BI106" s="2"/>
      <c r="BJ106" s="2"/>
      <c r="BK106" s="2"/>
      <c r="BL106" s="2"/>
      <c r="BM106" s="2"/>
    </row>
    <row r="107" customFormat="false" ht="12.75" hidden="false" customHeight="true" outlineLevel="0" collapsed="false">
      <c r="A107" s="2"/>
      <c r="B107" s="138" t="str">
        <f aca="false">B36</f>
        <v>Brand 7</v>
      </c>
      <c r="C107" s="275" t="str">
        <f aca="false">$C$42</f>
        <v>Program 1</v>
      </c>
      <c r="D107" s="286" t="n">
        <f aca="false">D98</f>
        <v>0.27</v>
      </c>
      <c r="E107" s="230" t="n">
        <f aca="false">D107*$D$36</f>
        <v>234.6786</v>
      </c>
      <c r="F107" s="278" t="n">
        <v>0</v>
      </c>
      <c r="G107" s="3" t="n">
        <f aca="false">$K$42*F107</f>
        <v>0</v>
      </c>
      <c r="H107" s="3" t="n">
        <f aca="false">IF($C$23&gt;$E$42,($C$23-$E$42)*$G$42,0)</f>
        <v>29.77</v>
      </c>
      <c r="I107" s="3" t="n">
        <f aca="false">IF($C$24&gt;$F$42,($C$24-$F$42)*$H$42,0)</f>
        <v>9.3</v>
      </c>
      <c r="J107" s="3" t="n">
        <f aca="false">$C$25*$I$42</f>
        <v>0.0207</v>
      </c>
      <c r="K107" s="3" t="n">
        <f aca="false">IF($E$42&gt;$C$23,($E$42-$C$23)*$C$8,0)</f>
        <v>0</v>
      </c>
      <c r="L107" s="3" t="n">
        <f aca="false">IF($F$42&gt;$C$24,($F$42-$C$24)*$C$9,0)</f>
        <v>0</v>
      </c>
      <c r="M107" s="231" t="n">
        <v>0</v>
      </c>
      <c r="N107" s="232" t="n">
        <f aca="false">$C$2+($E$42*$C$8)+($F$42*$C$9)</f>
        <v>5.27</v>
      </c>
      <c r="O107" s="3" t="n">
        <f aca="false">$C$11*G107+$C$11*P107</f>
        <v>2.201835</v>
      </c>
      <c r="P107" s="3" t="n">
        <f aca="false">IF($C$23&gt;$E$42,($C$23-$E$42)*$C$8,0)</f>
        <v>14.6789</v>
      </c>
      <c r="Q107" s="3" t="n">
        <f aca="false">IF($C$24&gt;$F$42,($C$24-$F$42)*$C$9,0)</f>
        <v>3.72</v>
      </c>
      <c r="R107" s="3" t="n">
        <f aca="false">$C$25*($C$10*10000/1000000)</f>
        <v>0.00414</v>
      </c>
      <c r="S107" s="277" t="n">
        <v>0</v>
      </c>
      <c r="T107" s="277" t="n">
        <v>0</v>
      </c>
      <c r="U107" s="277" t="n">
        <v>0</v>
      </c>
      <c r="V107" s="278" t="n">
        <f aca="false">F107-N107</f>
        <v>-5.27</v>
      </c>
      <c r="W107" s="277" t="n">
        <f aca="false">H107-P107-O107</f>
        <v>12.889265</v>
      </c>
      <c r="X107" s="277" t="n">
        <f aca="false">I107-Q107</f>
        <v>5.58</v>
      </c>
      <c r="Y107" s="277" t="n">
        <f aca="false">J107-R107</f>
        <v>0.01656</v>
      </c>
      <c r="Z107" s="277" t="n">
        <f aca="false">K107-S107</f>
        <v>0</v>
      </c>
      <c r="AA107" s="277" t="n">
        <f aca="false">L107-T107</f>
        <v>0</v>
      </c>
      <c r="AB107" s="277" t="n">
        <f aca="false">M107-U107</f>
        <v>0</v>
      </c>
      <c r="AC107" s="278" t="n">
        <f aca="false">$E107*F107</f>
        <v>0</v>
      </c>
      <c r="AD107" s="277" t="n">
        <f aca="false">E107*H107</f>
        <v>6986.381922</v>
      </c>
      <c r="AE107" s="277" t="n">
        <f aca="false">E107*I107</f>
        <v>2182.51098</v>
      </c>
      <c r="AF107" s="277" t="n">
        <f aca="false">E107*J107</f>
        <v>4.85784702</v>
      </c>
      <c r="AG107" s="277" t="n">
        <f aca="false">E107*K107</f>
        <v>0</v>
      </c>
      <c r="AH107" s="277" t="n">
        <f aca="false">E107*L107</f>
        <v>0</v>
      </c>
      <c r="AI107" s="279" t="n">
        <f aca="false">E107*M107</f>
        <v>0</v>
      </c>
      <c r="AJ107" s="280" t="n">
        <f aca="false">$E107*N107</f>
        <v>1236.756222</v>
      </c>
      <c r="AK107" s="277" t="n">
        <f aca="false">E107*O107</f>
        <v>516.723555231</v>
      </c>
      <c r="AL107" s="277" t="n">
        <f aca="false">E107*P107</f>
        <v>3444.82370154</v>
      </c>
      <c r="AM107" s="277" t="n">
        <f aca="false">E107*Q107</f>
        <v>873.004392</v>
      </c>
      <c r="AN107" s="277" t="n">
        <f aca="false">E107*R107</f>
        <v>0.971569404</v>
      </c>
      <c r="AO107" s="277" t="n">
        <f aca="false">E107*Z107</f>
        <v>0</v>
      </c>
      <c r="AP107" s="277" t="n">
        <f aca="false">E107*T107</f>
        <v>0</v>
      </c>
      <c r="AQ107" s="279" t="n">
        <f aca="false">E107*U107</f>
        <v>0</v>
      </c>
      <c r="AR107" s="3" t="n">
        <f aca="false">AC107-AJ107</f>
        <v>-1236.756222</v>
      </c>
      <c r="AS107" s="3" t="n">
        <f aca="false">AD107-AK107-AL107</f>
        <v>3024.834665229</v>
      </c>
      <c r="AT107" s="3" t="n">
        <f aca="false">AE107-AM107</f>
        <v>1309.506588</v>
      </c>
      <c r="AU107" s="3" t="n">
        <f aca="false">AF107-AN107</f>
        <v>3.886277616</v>
      </c>
      <c r="AV107" s="3" t="n">
        <f aca="false">AG107-AO107</f>
        <v>0</v>
      </c>
      <c r="AW107" s="3" t="n">
        <f aca="false">AH107-AP107</f>
        <v>0</v>
      </c>
      <c r="AX107" s="238" t="n">
        <f aca="false">AI107-AQ107</f>
        <v>0</v>
      </c>
      <c r="AY107" s="5" t="n">
        <f aca="false">E107*$C$23</f>
        <v>53741.3994</v>
      </c>
      <c r="AZ107" s="5" t="n">
        <f aca="false">E107*$C$24</f>
        <v>21825.1098</v>
      </c>
      <c r="BA107" s="230" t="n">
        <f aca="false">E107*$C$25</f>
        <v>48.5784702</v>
      </c>
      <c r="BB107" s="24" t="n">
        <f aca="false">$K$42*AR107</f>
        <v>-0</v>
      </c>
      <c r="BC107" s="35" t="n">
        <f aca="false">$L$42*AR107</f>
        <v>-0</v>
      </c>
      <c r="BD107" s="2"/>
      <c r="BE107" s="2"/>
      <c r="BF107" s="2"/>
      <c r="BG107" s="2"/>
      <c r="BH107" s="2"/>
      <c r="BI107" s="2"/>
      <c r="BJ107" s="2"/>
      <c r="BK107" s="2"/>
      <c r="BL107" s="2"/>
      <c r="BM107" s="2"/>
    </row>
    <row r="108" customFormat="false" ht="12.75" hidden="false" customHeight="true" outlineLevel="0" collapsed="false">
      <c r="A108" s="2"/>
      <c r="B108" s="56"/>
      <c r="C108" s="25" t="str">
        <f aca="false">$C$43</f>
        <v>Program 2</v>
      </c>
      <c r="D108" s="281" t="n">
        <f aca="false">D99</f>
        <v>0.4</v>
      </c>
      <c r="E108" s="230" t="n">
        <f aca="false">D108*$D$36</f>
        <v>347.672</v>
      </c>
      <c r="F108" s="235" t="n">
        <v>0</v>
      </c>
      <c r="G108" s="3" t="n">
        <f aca="false">$K$43*F108</f>
        <v>0</v>
      </c>
      <c r="H108" s="3" t="n">
        <f aca="false">IF($C$23&gt;$E$43,($C$23-$E$43)*$G$43,0)</f>
        <v>38.93</v>
      </c>
      <c r="I108" s="3" t="n">
        <f aca="false">IF($C$24&gt;$F$43,($C$24-$F$43)*$H$43,0)</f>
        <v>12.09</v>
      </c>
      <c r="J108" s="3" t="n">
        <f aca="false">$C$25*$I$43</f>
        <v>0.0207</v>
      </c>
      <c r="K108" s="3" t="n">
        <f aca="false">IF($E$43&gt;$C$23,($E$43-$C$23)*$C$8,0)</f>
        <v>0</v>
      </c>
      <c r="L108" s="3" t="n">
        <f aca="false">IF($F$43&gt;$C$24,($F$43-$C$24)*$C$9,0)</f>
        <v>0</v>
      </c>
      <c r="M108" s="231" t="n">
        <v>4.2</v>
      </c>
      <c r="N108" s="232" t="n">
        <f aca="false">$C$2+($E$43*$C$8)+($F$43*$C$9)</f>
        <v>5.27</v>
      </c>
      <c r="O108" s="3" t="n">
        <f aca="false">$C$11*G108+$C$11*P108</f>
        <v>2.201835</v>
      </c>
      <c r="P108" s="3" t="n">
        <f aca="false">IF($C$23&gt;$E$43,($C$23-$E$43)*$C$8,0)</f>
        <v>14.6789</v>
      </c>
      <c r="Q108" s="3" t="n">
        <f aca="false">IF($C$24&gt;$F$43,($C$24-$F$43)*$C$9,0)</f>
        <v>3.72</v>
      </c>
      <c r="R108" s="3" t="n">
        <f aca="false">$C$25*($C$10*10000/1000000)</f>
        <v>0.00414</v>
      </c>
      <c r="S108" s="3" t="n">
        <v>0</v>
      </c>
      <c r="T108" s="3" t="n">
        <v>0</v>
      </c>
      <c r="U108" s="3" t="n">
        <v>0</v>
      </c>
      <c r="V108" s="235" t="n">
        <f aca="false">F108-N108</f>
        <v>-5.27</v>
      </c>
      <c r="W108" s="3" t="n">
        <f aca="false">H108-P108-O108</f>
        <v>22.049265</v>
      </c>
      <c r="X108" s="3" t="n">
        <f aca="false">I108-Q108</f>
        <v>8.37</v>
      </c>
      <c r="Y108" s="3" t="n">
        <f aca="false">J108-R108</f>
        <v>0.01656</v>
      </c>
      <c r="Z108" s="3" t="n">
        <f aca="false">K108-S108</f>
        <v>0</v>
      </c>
      <c r="AA108" s="3" t="n">
        <f aca="false">L108-T108</f>
        <v>0</v>
      </c>
      <c r="AB108" s="3" t="n">
        <f aca="false">M108-U108</f>
        <v>4.2</v>
      </c>
      <c r="AC108" s="235" t="n">
        <f aca="false">$E108*F108</f>
        <v>0</v>
      </c>
      <c r="AD108" s="3" t="n">
        <f aca="false">E108*H108</f>
        <v>13534.87096</v>
      </c>
      <c r="AE108" s="3" t="n">
        <f aca="false">E108*I108</f>
        <v>4203.35448</v>
      </c>
      <c r="AF108" s="3" t="n">
        <f aca="false">E108*J108</f>
        <v>7.1968104</v>
      </c>
      <c r="AG108" s="3" t="n">
        <f aca="false">E108*K108</f>
        <v>0</v>
      </c>
      <c r="AH108" s="3" t="n">
        <f aca="false">E108*L108</f>
        <v>0</v>
      </c>
      <c r="AI108" s="231" t="n">
        <f aca="false">E108*M108</f>
        <v>1460.2224</v>
      </c>
      <c r="AJ108" s="232" t="n">
        <f aca="false">$E108*N108</f>
        <v>1832.23144</v>
      </c>
      <c r="AK108" s="3" t="n">
        <f aca="false">E108*O108</f>
        <v>765.51637812</v>
      </c>
      <c r="AL108" s="3" t="n">
        <f aca="false">E108*P108</f>
        <v>5103.4425208</v>
      </c>
      <c r="AM108" s="3" t="n">
        <f aca="false">E108*Q108</f>
        <v>1293.33984</v>
      </c>
      <c r="AN108" s="3" t="n">
        <f aca="false">E108*R108</f>
        <v>1.43936208</v>
      </c>
      <c r="AO108" s="3" t="n">
        <f aca="false">E108*Z108</f>
        <v>0</v>
      </c>
      <c r="AP108" s="3" t="n">
        <f aca="false">E108*T108</f>
        <v>0</v>
      </c>
      <c r="AQ108" s="231" t="n">
        <f aca="false">E108*U108</f>
        <v>0</v>
      </c>
      <c r="AR108" s="3" t="n">
        <f aca="false">AC108-AJ108</f>
        <v>-1832.23144</v>
      </c>
      <c r="AS108" s="3" t="n">
        <f aca="false">AD108-AK108-AL108</f>
        <v>7665.91206108</v>
      </c>
      <c r="AT108" s="3" t="n">
        <f aca="false">AE108-AM108</f>
        <v>2910.01464</v>
      </c>
      <c r="AU108" s="3" t="n">
        <f aca="false">AF108-AN108</f>
        <v>5.75744832</v>
      </c>
      <c r="AV108" s="3" t="n">
        <f aca="false">AG108-AO108</f>
        <v>0</v>
      </c>
      <c r="AW108" s="3" t="n">
        <f aca="false">AH108-AP108</f>
        <v>0</v>
      </c>
      <c r="AX108" s="238" t="n">
        <f aca="false">AI108-AQ108</f>
        <v>1460.2224</v>
      </c>
      <c r="AY108" s="5" t="n">
        <f aca="false">E108*$C$23</f>
        <v>79616.888</v>
      </c>
      <c r="AZ108" s="5" t="n">
        <f aca="false">E108*$C$24</f>
        <v>32333.496</v>
      </c>
      <c r="BA108" s="230" t="n">
        <f aca="false">E108*$C$25</f>
        <v>71.968104</v>
      </c>
      <c r="BB108" s="24" t="n">
        <f aca="false">$K$43*AR108</f>
        <v>-0</v>
      </c>
      <c r="BC108" s="35" t="n">
        <f aca="false">$L$43*AR108</f>
        <v>-0</v>
      </c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 customFormat="false" ht="12.75" hidden="false" customHeight="true" outlineLevel="0" collapsed="false">
      <c r="A109" s="2"/>
      <c r="B109" s="56"/>
      <c r="C109" s="25" t="str">
        <f aca="false">$C$44</f>
        <v>Program 3</v>
      </c>
      <c r="D109" s="281" t="n">
        <f aca="false">D100</f>
        <v>0.17</v>
      </c>
      <c r="E109" s="230" t="n">
        <f aca="false">D109*$D$36</f>
        <v>147.7606</v>
      </c>
      <c r="F109" s="235" t="n">
        <v>6</v>
      </c>
      <c r="G109" s="3" t="n">
        <f aca="false">$K$44*F109</f>
        <v>6</v>
      </c>
      <c r="H109" s="3" t="n">
        <f aca="false">IF($C$23&gt;$E$44,($C$23-$E$44)*$G$44,0)</f>
        <v>23.1</v>
      </c>
      <c r="I109" s="3" t="n">
        <f aca="false">IF($C$24&gt;$F$44,($C$24-$F$44)*$H$44,0)</f>
        <v>9.3</v>
      </c>
      <c r="J109" s="3" t="n">
        <f aca="false">$C$25*$I$44</f>
        <v>0.0207</v>
      </c>
      <c r="K109" s="3" t="n">
        <f aca="false">IF($E$44&gt;$C$23,($E$44-$C$23)*$C$8,0)</f>
        <v>0</v>
      </c>
      <c r="L109" s="3" t="n">
        <f aca="false">IF($F$44&gt;$C$24,($F$44-$C$24)*$C$9,0)</f>
        <v>0</v>
      </c>
      <c r="M109" s="231" t="n">
        <v>2.8</v>
      </c>
      <c r="N109" s="232" t="n">
        <f aca="false">$C$2+($E$44*$C$8)+($F$44*$C$9)</f>
        <v>10.0775</v>
      </c>
      <c r="O109" s="3" t="n">
        <f aca="false">$C$11*G109+$C$11*P109</f>
        <v>2.38071</v>
      </c>
      <c r="P109" s="3" t="n">
        <f aca="false">IF($C$23&gt;$E$44,($C$23-$E$44)*$C$8,0)</f>
        <v>9.8714</v>
      </c>
      <c r="Q109" s="3" t="n">
        <f aca="false">IF($C$24&gt;$F$44,($C$24-$F$44)*$C$9,0)</f>
        <v>3.72</v>
      </c>
      <c r="R109" s="3" t="n">
        <f aca="false">$C$25*($C$10*10000/1000000)</f>
        <v>0.00414</v>
      </c>
      <c r="S109" s="3" t="n">
        <v>0</v>
      </c>
      <c r="T109" s="3" t="n">
        <v>0</v>
      </c>
      <c r="U109" s="3" t="n">
        <v>0</v>
      </c>
      <c r="V109" s="235" t="n">
        <f aca="false">F109-N109</f>
        <v>-4.0775</v>
      </c>
      <c r="W109" s="3" t="n">
        <f aca="false">H109-P109-O109</f>
        <v>10.84789</v>
      </c>
      <c r="X109" s="3" t="n">
        <f aca="false">I109-Q109</f>
        <v>5.58</v>
      </c>
      <c r="Y109" s="3" t="n">
        <f aca="false">J109-R109</f>
        <v>0.01656</v>
      </c>
      <c r="Z109" s="3" t="n">
        <f aca="false">K109-S109</f>
        <v>0</v>
      </c>
      <c r="AA109" s="3" t="n">
        <f aca="false">L109-T109</f>
        <v>0</v>
      </c>
      <c r="AB109" s="3" t="n">
        <f aca="false">M109-U109</f>
        <v>2.8</v>
      </c>
      <c r="AC109" s="235" t="n">
        <f aca="false">$E109*F109</f>
        <v>886.5636</v>
      </c>
      <c r="AD109" s="3" t="n">
        <f aca="false">E109*H109</f>
        <v>3413.26986</v>
      </c>
      <c r="AE109" s="3" t="n">
        <f aca="false">E109*I109</f>
        <v>1374.17358</v>
      </c>
      <c r="AF109" s="3" t="n">
        <f aca="false">E109*J109</f>
        <v>3.05864442</v>
      </c>
      <c r="AG109" s="3" t="n">
        <f aca="false">E109*K109</f>
        <v>0</v>
      </c>
      <c r="AH109" s="3" t="n">
        <f aca="false">E109*L109</f>
        <v>0</v>
      </c>
      <c r="AI109" s="231" t="n">
        <f aca="false">E109*M109</f>
        <v>413.72968</v>
      </c>
      <c r="AJ109" s="232" t="n">
        <f aca="false">$E109*N109</f>
        <v>1489.0574465</v>
      </c>
      <c r="AK109" s="3" t="n">
        <f aca="false">E109*O109</f>
        <v>351.775138026</v>
      </c>
      <c r="AL109" s="3" t="n">
        <f aca="false">E109*P109</f>
        <v>1458.60398684</v>
      </c>
      <c r="AM109" s="3" t="n">
        <f aca="false">E109*Q109</f>
        <v>549.669432</v>
      </c>
      <c r="AN109" s="3" t="n">
        <f aca="false">E109*R109</f>
        <v>0.611728884</v>
      </c>
      <c r="AO109" s="3" t="n">
        <f aca="false">E109*Z109</f>
        <v>0</v>
      </c>
      <c r="AP109" s="3" t="n">
        <f aca="false">E109*T109</f>
        <v>0</v>
      </c>
      <c r="AQ109" s="231" t="n">
        <f aca="false">E109*U109</f>
        <v>0</v>
      </c>
      <c r="AR109" s="3" t="n">
        <f aca="false">AC109-AJ109</f>
        <v>-602.4938465</v>
      </c>
      <c r="AS109" s="3" t="n">
        <f aca="false">AD109-AK109-AL109</f>
        <v>1602.890735134</v>
      </c>
      <c r="AT109" s="3" t="n">
        <f aca="false">AE109-AM109</f>
        <v>824.504148</v>
      </c>
      <c r="AU109" s="3" t="n">
        <f aca="false">AF109-AN109</f>
        <v>2.446915536</v>
      </c>
      <c r="AV109" s="3" t="n">
        <f aca="false">AG109-AO109</f>
        <v>0</v>
      </c>
      <c r="AW109" s="3" t="n">
        <f aca="false">AH109-AP109</f>
        <v>0</v>
      </c>
      <c r="AX109" s="238" t="n">
        <f aca="false">AI109-AQ109</f>
        <v>413.72968</v>
      </c>
      <c r="AY109" s="5" t="n">
        <f aca="false">E109*$C$23</f>
        <v>33837.1774</v>
      </c>
      <c r="AZ109" s="5" t="n">
        <f aca="false">E109*$C$24</f>
        <v>13741.7358</v>
      </c>
      <c r="BA109" s="230" t="n">
        <f aca="false">E109*$C$25</f>
        <v>30.5864442</v>
      </c>
      <c r="BB109" s="24" t="n">
        <f aca="false">$K$44*AR109</f>
        <v>-602.4938465</v>
      </c>
      <c r="BC109" s="35" t="n">
        <f aca="false">$L$44*AR109</f>
        <v>-0</v>
      </c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 customFormat="false" ht="12.75" hidden="false" customHeight="true" outlineLevel="0" collapsed="false">
      <c r="A110" s="2"/>
      <c r="B110" s="56"/>
      <c r="C110" s="25" t="str">
        <f aca="false">$C$45</f>
        <v>Program 4</v>
      </c>
      <c r="D110" s="281" t="n">
        <f aca="false">D101</f>
        <v>0.1</v>
      </c>
      <c r="E110" s="230" t="n">
        <f aca="false">D110*$D$36</f>
        <v>86.918</v>
      </c>
      <c r="F110" s="235" t="n">
        <v>15</v>
      </c>
      <c r="G110" s="3" t="n">
        <f aca="false">$K$45*F110</f>
        <v>15</v>
      </c>
      <c r="H110" s="3" t="n">
        <f aca="false">IF($C$23&gt;$E$45,($C$23-$E$45)*$G$45,0)</f>
        <v>3.77</v>
      </c>
      <c r="I110" s="3" t="n">
        <f aca="false">IF($C$24&gt;$F$45,($C$24-$F$45)*$H$45,0)</f>
        <v>9.3</v>
      </c>
      <c r="J110" s="3" t="n">
        <f aca="false">$C$25*$I$45</f>
        <v>0.0207</v>
      </c>
      <c r="K110" s="3" t="n">
        <f aca="false">IF($E$45&gt;$C$23,($E$45-$C$23)*$C$8,0)</f>
        <v>0</v>
      </c>
      <c r="L110" s="3" t="n">
        <f aca="false">IF($F$45&gt;$C$24,($F$45-$C$24)*$C$9,0)</f>
        <v>0</v>
      </c>
      <c r="M110" s="231" t="n">
        <v>0</v>
      </c>
      <c r="N110" s="232" t="n">
        <f aca="false">$C$2+($E$45*$C$8)+($F$45*$C$9)</f>
        <v>18.09</v>
      </c>
      <c r="O110" s="3" t="n">
        <f aca="false">$C$11*G110+$C$11*P110</f>
        <v>2.528835</v>
      </c>
      <c r="P110" s="3" t="n">
        <f aca="false">IF($C$23&gt;$E$45,($C$23-$E$45)*$C$8,0)</f>
        <v>1.8589</v>
      </c>
      <c r="Q110" s="3" t="n">
        <f aca="false">IF($C$24&gt;$F$45,($C$24-$F$45)*$C$9,0)</f>
        <v>3.72</v>
      </c>
      <c r="R110" s="3" t="n">
        <f aca="false">$C$25*($C$10*10000/1000000)</f>
        <v>0.00414</v>
      </c>
      <c r="S110" s="3" t="n">
        <v>0</v>
      </c>
      <c r="T110" s="3" t="n">
        <v>0</v>
      </c>
      <c r="U110" s="3" t="n">
        <v>0</v>
      </c>
      <c r="V110" s="235" t="n">
        <f aca="false">F110-N110</f>
        <v>-3.09</v>
      </c>
      <c r="W110" s="3" t="n">
        <f aca="false">H110-P110-O110</f>
        <v>-0.617735</v>
      </c>
      <c r="X110" s="3" t="n">
        <f aca="false">I110-Q110</f>
        <v>5.58</v>
      </c>
      <c r="Y110" s="3" t="n">
        <f aca="false">J110-R110</f>
        <v>0.01656</v>
      </c>
      <c r="Z110" s="3" t="n">
        <f aca="false">K110-S110</f>
        <v>0</v>
      </c>
      <c r="AA110" s="3" t="n">
        <f aca="false">L110-T110</f>
        <v>0</v>
      </c>
      <c r="AB110" s="3" t="n">
        <f aca="false">M110-U110</f>
        <v>0</v>
      </c>
      <c r="AC110" s="235" t="n">
        <f aca="false">$E110*F110</f>
        <v>1303.77</v>
      </c>
      <c r="AD110" s="3" t="n">
        <f aca="false">E110*H110</f>
        <v>327.68086</v>
      </c>
      <c r="AE110" s="3" t="n">
        <f aca="false">E110*I110</f>
        <v>808.3374</v>
      </c>
      <c r="AF110" s="3" t="n">
        <f aca="false">E110*J110</f>
        <v>1.7992026</v>
      </c>
      <c r="AG110" s="3" t="n">
        <f aca="false">E110*K110</f>
        <v>0</v>
      </c>
      <c r="AH110" s="3" t="n">
        <f aca="false">E110*L110</f>
        <v>0</v>
      </c>
      <c r="AI110" s="231" t="n">
        <f aca="false">E110*M110</f>
        <v>0</v>
      </c>
      <c r="AJ110" s="232" t="n">
        <f aca="false">$E110*N110</f>
        <v>1572.34662</v>
      </c>
      <c r="AK110" s="3" t="n">
        <f aca="false">E110*O110</f>
        <v>219.80128053</v>
      </c>
      <c r="AL110" s="3" t="n">
        <f aca="false">E110*P110</f>
        <v>161.5718702</v>
      </c>
      <c r="AM110" s="3" t="n">
        <f aca="false">E110*Q110</f>
        <v>323.33496</v>
      </c>
      <c r="AN110" s="3" t="n">
        <f aca="false">E110*R110</f>
        <v>0.35984052</v>
      </c>
      <c r="AO110" s="3" t="n">
        <f aca="false">E110*Z110</f>
        <v>0</v>
      </c>
      <c r="AP110" s="3" t="n">
        <f aca="false">E110*T110</f>
        <v>0</v>
      </c>
      <c r="AQ110" s="231" t="n">
        <f aca="false">E110*U110</f>
        <v>0</v>
      </c>
      <c r="AR110" s="3" t="n">
        <f aca="false">AC110-AJ110</f>
        <v>-268.57662</v>
      </c>
      <c r="AS110" s="3" t="n">
        <f aca="false">AD110-AK110-AL110</f>
        <v>-53.69229073</v>
      </c>
      <c r="AT110" s="3" t="n">
        <f aca="false">AE110-AM110</f>
        <v>485.00244</v>
      </c>
      <c r="AU110" s="3" t="n">
        <f aca="false">AF110-AN110</f>
        <v>1.43936208</v>
      </c>
      <c r="AV110" s="3" t="n">
        <f aca="false">AG110-AO110</f>
        <v>0</v>
      </c>
      <c r="AW110" s="3" t="n">
        <f aca="false">AH110-AP110</f>
        <v>0</v>
      </c>
      <c r="AX110" s="238" t="n">
        <f aca="false">AI110-AQ110</f>
        <v>0</v>
      </c>
      <c r="AY110" s="5" t="n">
        <f aca="false">E110*$C$23</f>
        <v>19904.222</v>
      </c>
      <c r="AZ110" s="5" t="n">
        <f aca="false">E110*$C$24</f>
        <v>8083.374</v>
      </c>
      <c r="BA110" s="230" t="n">
        <f aca="false">E110*$C$25</f>
        <v>17.992026</v>
      </c>
      <c r="BB110" s="24" t="n">
        <f aca="false">$K$45*AR110</f>
        <v>-268.57662</v>
      </c>
      <c r="BC110" s="35" t="n">
        <f aca="false">$L$45*AR110</f>
        <v>-0</v>
      </c>
      <c r="BD110" s="2"/>
      <c r="BE110" s="2"/>
      <c r="BF110" s="2"/>
      <c r="BG110" s="2"/>
      <c r="BH110" s="2"/>
      <c r="BI110" s="2"/>
      <c r="BJ110" s="2"/>
      <c r="BK110" s="2"/>
      <c r="BL110" s="2"/>
      <c r="BM110" s="2"/>
    </row>
    <row r="111" customFormat="false" ht="12.75" hidden="false" customHeight="true" outlineLevel="0" collapsed="false">
      <c r="A111" s="2"/>
      <c r="B111" s="56"/>
      <c r="C111" s="25" t="str">
        <f aca="false">$C$46</f>
        <v>Program 5</v>
      </c>
      <c r="D111" s="281" t="n">
        <f aca="false">D102</f>
        <v>0.05</v>
      </c>
      <c r="E111" s="230" t="n">
        <f aca="false">D111*$D$36</f>
        <v>43.459</v>
      </c>
      <c r="F111" s="235" t="n">
        <v>25</v>
      </c>
      <c r="G111" s="3" t="n">
        <f aca="false">$K$46*F111</f>
        <v>25</v>
      </c>
      <c r="H111" s="3" t="n">
        <f aca="false">IF($C$23&gt;$E$46,($C$23-$E$46)*$G$46,0)</f>
        <v>0</v>
      </c>
      <c r="I111" s="3" t="n">
        <f aca="false">IF($C$24&gt;$F$46,($C$24-$F$46)*$H$46,0)</f>
        <v>9.3</v>
      </c>
      <c r="J111" s="3" t="n">
        <f aca="false">$C$25*$I$46</f>
        <v>0.0207</v>
      </c>
      <c r="K111" s="3" t="n">
        <f aca="false">IF($E$46&gt;$C$23,($E$46-$C$23)*$C$8,0)</f>
        <v>14.1661</v>
      </c>
      <c r="L111" s="3" t="n">
        <f aca="false">IF($F$46&gt;$C$24,($F$46-$C$24)*$C$9,0)</f>
        <v>0</v>
      </c>
      <c r="M111" s="231" t="n">
        <v>0</v>
      </c>
      <c r="N111" s="232" t="n">
        <f aca="false">$C$2+($E$46*$C$8)+($F$46*$C$9)</f>
        <v>34.115</v>
      </c>
      <c r="O111" s="3" t="n">
        <f aca="false">$C$11*G111+$C$11*P111</f>
        <v>3.75</v>
      </c>
      <c r="P111" s="3" t="n">
        <f aca="false">IF($C$23&gt;$E$46,($C$23-$E$46)*$C$8,0)</f>
        <v>0</v>
      </c>
      <c r="Q111" s="3" t="n">
        <f aca="false">IF($C$24&gt;$F$46,($C$24-$F$46)*$C$9,0)</f>
        <v>3.72</v>
      </c>
      <c r="R111" s="3" t="n">
        <f aca="false">$C$25*($C$10*10000/1000000)</f>
        <v>0.00414</v>
      </c>
      <c r="S111" s="3" t="n">
        <v>0</v>
      </c>
      <c r="T111" s="3" t="n">
        <v>0</v>
      </c>
      <c r="U111" s="3" t="n">
        <v>0</v>
      </c>
      <c r="V111" s="235" t="n">
        <f aca="false">F111-N111</f>
        <v>-9.115</v>
      </c>
      <c r="W111" s="3" t="n">
        <f aca="false">H111-P111-O111</f>
        <v>-3.75</v>
      </c>
      <c r="X111" s="3" t="n">
        <f aca="false">I111-Q111</f>
        <v>5.58</v>
      </c>
      <c r="Y111" s="3" t="n">
        <f aca="false">J111-R111</f>
        <v>0.01656</v>
      </c>
      <c r="Z111" s="3" t="n">
        <f aca="false">K111-S111</f>
        <v>14.1661</v>
      </c>
      <c r="AA111" s="3" t="n">
        <f aca="false">L111-T111</f>
        <v>0</v>
      </c>
      <c r="AB111" s="3" t="n">
        <f aca="false">M111-U111</f>
        <v>0</v>
      </c>
      <c r="AC111" s="235" t="n">
        <f aca="false">$E111*F111</f>
        <v>1086.475</v>
      </c>
      <c r="AD111" s="3" t="n">
        <f aca="false">E111*H111</f>
        <v>0</v>
      </c>
      <c r="AE111" s="3" t="n">
        <f aca="false">E111*I111</f>
        <v>404.1687</v>
      </c>
      <c r="AF111" s="3" t="n">
        <f aca="false">E111*J111</f>
        <v>0.8996013</v>
      </c>
      <c r="AG111" s="3" t="n">
        <f aca="false">E111*K111</f>
        <v>615.6445399</v>
      </c>
      <c r="AH111" s="3" t="n">
        <f aca="false">E111*L111</f>
        <v>0</v>
      </c>
      <c r="AI111" s="231" t="n">
        <f aca="false">E111*M111</f>
        <v>0</v>
      </c>
      <c r="AJ111" s="232" t="n">
        <f aca="false">$E111*N111</f>
        <v>1482.603785</v>
      </c>
      <c r="AK111" s="3" t="n">
        <f aca="false">E111*O111</f>
        <v>162.97125</v>
      </c>
      <c r="AL111" s="3" t="n">
        <f aca="false">E111*P111</f>
        <v>0</v>
      </c>
      <c r="AM111" s="3" t="n">
        <f aca="false">E111*Q111</f>
        <v>161.66748</v>
      </c>
      <c r="AN111" s="3" t="n">
        <f aca="false">E111*R111</f>
        <v>0.17992026</v>
      </c>
      <c r="AO111" s="3" t="n">
        <f aca="false">E111*Z111</f>
        <v>615.6445399</v>
      </c>
      <c r="AP111" s="3" t="n">
        <f aca="false">E111*T111</f>
        <v>0</v>
      </c>
      <c r="AQ111" s="231" t="n">
        <f aca="false">E111*U111</f>
        <v>0</v>
      </c>
      <c r="AR111" s="3" t="n">
        <f aca="false">AC111-AJ111</f>
        <v>-396.128785</v>
      </c>
      <c r="AS111" s="3" t="n">
        <f aca="false">AD111-AK111-AL111</f>
        <v>-162.97125</v>
      </c>
      <c r="AT111" s="3" t="n">
        <f aca="false">AE111-AM111</f>
        <v>242.50122</v>
      </c>
      <c r="AU111" s="3" t="n">
        <f aca="false">AF111-AN111</f>
        <v>0.71968104</v>
      </c>
      <c r="AV111" s="3" t="n">
        <f aca="false">AG111-AO111</f>
        <v>0</v>
      </c>
      <c r="AW111" s="3" t="n">
        <f aca="false">AH111-AP111</f>
        <v>0</v>
      </c>
      <c r="AX111" s="238" t="n">
        <f aca="false">AI111-AQ111</f>
        <v>0</v>
      </c>
      <c r="AY111" s="5" t="n">
        <f aca="false">E111*$C$23</f>
        <v>9952.111</v>
      </c>
      <c r="AZ111" s="5" t="n">
        <f aca="false">E111*$C$24</f>
        <v>4041.687</v>
      </c>
      <c r="BA111" s="230" t="n">
        <f aca="false">E111*$C$25</f>
        <v>8.996013</v>
      </c>
      <c r="BB111" s="24" t="n">
        <f aca="false">$K$46*AR111</f>
        <v>-396.128785</v>
      </c>
      <c r="BC111" s="35" t="n">
        <f aca="false">$L$46*AR111</f>
        <v>-0</v>
      </c>
      <c r="BD111" s="2"/>
      <c r="BE111" s="2"/>
      <c r="BF111" s="2"/>
      <c r="BG111" s="2"/>
      <c r="BH111" s="2"/>
      <c r="BI111" s="2"/>
      <c r="BJ111" s="2"/>
      <c r="BK111" s="2"/>
      <c r="BL111" s="2"/>
      <c r="BM111" s="2"/>
    </row>
    <row r="112" customFormat="false" ht="12.75" hidden="false" customHeight="true" outlineLevel="0" collapsed="false">
      <c r="A112" s="27"/>
      <c r="B112" s="56"/>
      <c r="C112" s="25" t="str">
        <f aca="false">$C$47</f>
        <v>Program 6</v>
      </c>
      <c r="D112" s="192" t="n">
        <f aca="false">D103</f>
        <v>0.01</v>
      </c>
      <c r="E112" s="230" t="n">
        <f aca="false">D112*$D$30</f>
        <v>150</v>
      </c>
      <c r="F112" s="3" t="n">
        <v>25</v>
      </c>
      <c r="G112" s="3" t="n">
        <f aca="false">$K$46*F112</f>
        <v>25</v>
      </c>
      <c r="H112" s="3" t="n">
        <f aca="false">IF($C$23&gt;$E$46,($C$23-$E$46)*$G$46,0)</f>
        <v>0</v>
      </c>
      <c r="I112" s="3" t="n">
        <f aca="false">IF($C$24&gt;$F$46,($C$24-$F$46)*$H$46,0)</f>
        <v>9.3</v>
      </c>
      <c r="J112" s="3" t="n">
        <f aca="false">$C$25*$I$46</f>
        <v>0.0207</v>
      </c>
      <c r="K112" s="3" t="n">
        <f aca="false">IF($E$46&gt;$C$23,($E$46-$C$23)*$C$8,0)</f>
        <v>14.1661</v>
      </c>
      <c r="L112" s="3" t="n">
        <f aca="false">IF($F$46&gt;$C$24,($F$46-$C$24)*$C$9,0)</f>
        <v>0</v>
      </c>
      <c r="M112" s="231" t="n">
        <v>0</v>
      </c>
      <c r="N112" s="232" t="n">
        <f aca="false">$C$2+($E$46*$C$8)+($F$46*$C$9)</f>
        <v>34.115</v>
      </c>
      <c r="O112" s="3" t="n">
        <f aca="false">$C$11*G112+$C$11*P112</f>
        <v>3.75</v>
      </c>
      <c r="P112" s="3" t="n">
        <f aca="false">IF($C$23&gt;$E$46,($C$23-$E$46)*$C$8,0)</f>
        <v>0</v>
      </c>
      <c r="Q112" s="3" t="n">
        <f aca="false">IF($C$24&gt;$F$46,($C$24-$F$46)*$C$9,0)</f>
        <v>3.72</v>
      </c>
      <c r="R112" s="3" t="n">
        <f aca="false">$C$25*($C$10*10000/1000000)</f>
        <v>0.00414</v>
      </c>
      <c r="S112" s="3" t="n">
        <v>0</v>
      </c>
      <c r="T112" s="3" t="n">
        <v>0</v>
      </c>
      <c r="U112" s="3" t="n">
        <v>0</v>
      </c>
      <c r="V112" s="235" t="n">
        <f aca="false">F112-N112</f>
        <v>-9.115</v>
      </c>
      <c r="W112" s="3" t="n">
        <f aca="false">H112-P112-O112</f>
        <v>-3.75</v>
      </c>
      <c r="X112" s="3" t="n">
        <f aca="false">I112-Q112</f>
        <v>5.58</v>
      </c>
      <c r="Y112" s="3" t="n">
        <f aca="false">J112-R112</f>
        <v>0.01656</v>
      </c>
      <c r="Z112" s="3" t="n">
        <f aca="false">K112-S112</f>
        <v>14.1661</v>
      </c>
      <c r="AA112" s="3" t="n">
        <f aca="false">L112-T112</f>
        <v>0</v>
      </c>
      <c r="AB112" s="3" t="n">
        <f aca="false">M112-U112</f>
        <v>0</v>
      </c>
      <c r="AC112" s="235" t="n">
        <f aca="false">$E112*F112</f>
        <v>3750</v>
      </c>
      <c r="AD112" s="3" t="n">
        <f aca="false">E112*H112</f>
        <v>0</v>
      </c>
      <c r="AE112" s="3" t="n">
        <f aca="false">E112*I112</f>
        <v>1395</v>
      </c>
      <c r="AF112" s="3" t="n">
        <f aca="false">E112*J112</f>
        <v>3.105</v>
      </c>
      <c r="AG112" s="3" t="n">
        <f aca="false">E112*K112</f>
        <v>2124.915</v>
      </c>
      <c r="AH112" s="3" t="n">
        <f aca="false">E112*L112</f>
        <v>0</v>
      </c>
      <c r="AI112" s="3" t="n">
        <f aca="false">E112*M112</f>
        <v>0</v>
      </c>
      <c r="AJ112" s="232" t="n">
        <f aca="false">$E112*N112</f>
        <v>5117.25</v>
      </c>
      <c r="AK112" s="3" t="n">
        <f aca="false">E112*O112</f>
        <v>562.5</v>
      </c>
      <c r="AL112" s="3" t="n">
        <f aca="false">E112*P112</f>
        <v>0</v>
      </c>
      <c r="AM112" s="3" t="n">
        <f aca="false">E112*Q112</f>
        <v>558</v>
      </c>
      <c r="AN112" s="3" t="n">
        <f aca="false">E112*R112</f>
        <v>0.621</v>
      </c>
      <c r="AO112" s="3" t="n">
        <f aca="false">E112*Z112</f>
        <v>2124.915</v>
      </c>
      <c r="AP112" s="3" t="n">
        <f aca="false">E112*T112</f>
        <v>0</v>
      </c>
      <c r="AQ112" s="231" t="n">
        <f aca="false">E112*U112</f>
        <v>0</v>
      </c>
      <c r="AR112" s="3" t="n">
        <f aca="false">AC112-AJ112</f>
        <v>-1367.25</v>
      </c>
      <c r="AS112" s="3" t="n">
        <f aca="false">AD112-AK112-AL112</f>
        <v>-562.5</v>
      </c>
      <c r="AT112" s="3" t="n">
        <f aca="false">AE112-AM112</f>
        <v>837</v>
      </c>
      <c r="AU112" s="3" t="n">
        <f aca="false">AF112-AN112</f>
        <v>2.484</v>
      </c>
      <c r="AV112" s="3" t="n">
        <f aca="false">AG112-AO112</f>
        <v>0</v>
      </c>
      <c r="AW112" s="3" t="n">
        <f aca="false">AH112-AP112</f>
        <v>0</v>
      </c>
      <c r="AX112" s="238" t="n">
        <f aca="false">AI112-AQ112</f>
        <v>0</v>
      </c>
      <c r="AY112" s="5" t="n">
        <f aca="false">E112*$C$23</f>
        <v>34350</v>
      </c>
      <c r="AZ112" s="5" t="n">
        <f aca="false">E112*$C$24</f>
        <v>13950</v>
      </c>
      <c r="BA112" s="230" t="n">
        <f aca="false">E112*$C$25</f>
        <v>31.05</v>
      </c>
      <c r="BB112" s="24" t="n">
        <f aca="false">$K$46*AR112</f>
        <v>-1367.25</v>
      </c>
      <c r="BC112" s="35" t="n">
        <f aca="false">$L$46*AR112</f>
        <v>-0</v>
      </c>
      <c r="BD112" s="2"/>
      <c r="BE112" s="2"/>
      <c r="BF112" s="2"/>
      <c r="BG112" s="2"/>
      <c r="BH112" s="2"/>
      <c r="BI112" s="2"/>
      <c r="BJ112" s="2"/>
      <c r="BK112" s="2"/>
      <c r="BL112" s="2"/>
      <c r="BM112" s="2"/>
    </row>
    <row r="113" customFormat="false" ht="12.75" hidden="false" customHeight="true" outlineLevel="0" collapsed="false">
      <c r="A113" s="2"/>
      <c r="B113" s="30"/>
      <c r="C113" s="32" t="n">
        <f aca="false">$C$48</f>
        <v>0</v>
      </c>
      <c r="D113" s="287" t="n">
        <f aca="false">D104</f>
        <v>0</v>
      </c>
      <c r="E113" s="283" t="n">
        <f aca="false">D113*$D$36</f>
        <v>0</v>
      </c>
      <c r="F113" s="284" t="n">
        <v>35</v>
      </c>
      <c r="G113" s="3" t="n">
        <f aca="false">$K$48*F113</f>
        <v>35</v>
      </c>
      <c r="H113" s="244" t="n">
        <f aca="false">IF($C$23&gt;$E$48,($C$23-$E$48)*$G$48,0)</f>
        <v>0</v>
      </c>
      <c r="I113" s="244" t="n">
        <f aca="false">IF($C$24&gt;$F$48,($C$24-$F$48)*$H$48,0)</f>
        <v>0</v>
      </c>
      <c r="J113" s="244" t="n">
        <f aca="false">$C$25*$I$48</f>
        <v>0</v>
      </c>
      <c r="K113" s="244" t="n">
        <f aca="false">IF($E$48&gt;$C$23,($E$48-$C$23)*$C$8,0)</f>
        <v>0</v>
      </c>
      <c r="L113" s="244" t="n">
        <f aca="false">IF($F$48&gt;$C$24,($F$48-$C$24)*$C$9,0)</f>
        <v>0</v>
      </c>
      <c r="M113" s="246" t="n">
        <v>0</v>
      </c>
      <c r="N113" s="232" t="n">
        <f aca="false">$C$2+($E$48*$C$8)+($F$48*$C$9)</f>
        <v>5.27</v>
      </c>
      <c r="O113" s="3" t="n">
        <f aca="false">$C$11*G113+$C$11*P113</f>
        <v>7.451835</v>
      </c>
      <c r="P113" s="244" t="n">
        <f aca="false">IF($C$23&gt;$E$48,($C$23-$E$48)*$C$8,0)</f>
        <v>14.6789</v>
      </c>
      <c r="Q113" s="244" t="n">
        <f aca="false">IF($C$24&gt;$F$48,($C$24-$F$48)*$C$9,0)</f>
        <v>3.72</v>
      </c>
      <c r="R113" s="244" t="n">
        <f aca="false">$C$25*($C$10*10000/1000000)</f>
        <v>0.00414</v>
      </c>
      <c r="S113" s="244" t="n">
        <v>0</v>
      </c>
      <c r="T113" s="244" t="n">
        <v>0</v>
      </c>
      <c r="U113" s="244" t="n">
        <v>0</v>
      </c>
      <c r="V113" s="284" t="n">
        <f aca="false">F113-N113</f>
        <v>29.73</v>
      </c>
      <c r="W113" s="244" t="n">
        <f aca="false">H113-P113-O113</f>
        <v>-22.130735</v>
      </c>
      <c r="X113" s="244" t="n">
        <f aca="false">I113-Q113</f>
        <v>-3.72</v>
      </c>
      <c r="Y113" s="244" t="n">
        <f aca="false">J113-R113</f>
        <v>-0.00414</v>
      </c>
      <c r="Z113" s="244" t="n">
        <f aca="false">K113-S113</f>
        <v>0</v>
      </c>
      <c r="AA113" s="244" t="n">
        <f aca="false">L113-T113</f>
        <v>0</v>
      </c>
      <c r="AB113" s="244" t="n">
        <f aca="false">M113-U113</f>
        <v>0</v>
      </c>
      <c r="AC113" s="284" t="n">
        <f aca="false">$E113*F113</f>
        <v>0</v>
      </c>
      <c r="AD113" s="244" t="n">
        <f aca="false">E113*H113</f>
        <v>0</v>
      </c>
      <c r="AE113" s="244" t="n">
        <f aca="false">E113*I113</f>
        <v>0</v>
      </c>
      <c r="AF113" s="244" t="n">
        <f aca="false">E113*J113</f>
        <v>0</v>
      </c>
      <c r="AG113" s="244" t="n">
        <f aca="false">E113*K113</f>
        <v>0</v>
      </c>
      <c r="AH113" s="244" t="n">
        <f aca="false">E113*L113</f>
        <v>0</v>
      </c>
      <c r="AI113" s="246" t="n">
        <f aca="false">E113*M113</f>
        <v>0</v>
      </c>
      <c r="AJ113" s="245" t="n">
        <f aca="false">$E113*N113</f>
        <v>0</v>
      </c>
      <c r="AK113" s="244" t="n">
        <f aca="false">E113*O113</f>
        <v>0</v>
      </c>
      <c r="AL113" s="244" t="n">
        <f aca="false">E113*P113</f>
        <v>0</v>
      </c>
      <c r="AM113" s="244" t="n">
        <f aca="false">E113*Q113</f>
        <v>0</v>
      </c>
      <c r="AN113" s="244" t="n">
        <f aca="false">E113*R113</f>
        <v>0</v>
      </c>
      <c r="AO113" s="244" t="n">
        <f aca="false">E113*Z113</f>
        <v>0</v>
      </c>
      <c r="AP113" s="244" t="n">
        <f aca="false">E113*T113</f>
        <v>0</v>
      </c>
      <c r="AQ113" s="246" t="n">
        <f aca="false">E113*U113</f>
        <v>0</v>
      </c>
      <c r="AR113" s="3" t="n">
        <f aca="false">AC113-AJ113</f>
        <v>0</v>
      </c>
      <c r="AS113" s="3" t="n">
        <f aca="false">AD113-AK113-AL113</f>
        <v>0</v>
      </c>
      <c r="AT113" s="3" t="n">
        <f aca="false">AE113-AM113</f>
        <v>0</v>
      </c>
      <c r="AU113" s="3" t="n">
        <f aca="false">AF113-AN113</f>
        <v>0</v>
      </c>
      <c r="AV113" s="3" t="n">
        <f aca="false">AG113-AO113</f>
        <v>0</v>
      </c>
      <c r="AW113" s="3" t="n">
        <f aca="false">AH113-AP113</f>
        <v>0</v>
      </c>
      <c r="AX113" s="238" t="n">
        <f aca="false">AI113-AQ113</f>
        <v>0</v>
      </c>
      <c r="AY113" s="72" t="n">
        <f aca="false">E113*$C$23</f>
        <v>0</v>
      </c>
      <c r="AZ113" s="72" t="n">
        <f aca="false">E113*$C$24</f>
        <v>0</v>
      </c>
      <c r="BA113" s="283" t="n">
        <f aca="false">E113*$C$25</f>
        <v>0</v>
      </c>
      <c r="BB113" s="24" t="n">
        <f aca="false">$K$48*AR113</f>
        <v>0</v>
      </c>
      <c r="BC113" s="35" t="n">
        <f aca="false">$L$48*AR113</f>
        <v>0</v>
      </c>
      <c r="BD113" s="2"/>
      <c r="BE113" s="2"/>
      <c r="BF113" s="2"/>
      <c r="BG113" s="2"/>
      <c r="BH113" s="2"/>
      <c r="BI113" s="2"/>
      <c r="BJ113" s="2"/>
      <c r="BK113" s="2"/>
      <c r="BL113" s="2"/>
      <c r="BM113" s="2"/>
    </row>
    <row r="114" customFormat="false" ht="12.75" hidden="false" customHeight="true" outlineLevel="0" collapsed="false">
      <c r="A114" s="2"/>
      <c r="B114" s="247"/>
      <c r="C114" s="248" t="s">
        <v>171</v>
      </c>
      <c r="D114" s="249"/>
      <c r="E114" s="250"/>
      <c r="F114" s="251" t="n">
        <f aca="false">(($E107*F107)+($E108*F108)+($E109*F109)+($E110*F110)+($E111*F111)+($E113*F113))/($E115)</f>
        <v>3.24279749135121</v>
      </c>
      <c r="G114" s="251" t="n">
        <f aca="false">(($E107*G107)+($E108*G108)+($E109*G109)+($E110*G110)+($E111*G111)+($E113*G113))/($E115)</f>
        <v>3.24279749135121</v>
      </c>
      <c r="H114" s="251" t="n">
        <f aca="false">(($E107*H107)+($E108*H108)+($E109*H109)+($E110*H110)+($E111*H111)+($E113*H113))/($E115)</f>
        <v>24.0103779559227</v>
      </c>
      <c r="I114" s="251" t="n">
        <f aca="false">(($E107*I107)+($E108*I108)+($E109*I109)+($E110*I110)+($E111*I111)+($E113*I113))/($E115)</f>
        <v>8.87941604859908</v>
      </c>
      <c r="J114" s="251" t="n">
        <f aca="false">(($E107*J107)+($E108*J108)+($E109*J109)+($E110*J110)+($E111*J111)+($E113*J113))/($E115)</f>
        <v>0.0176272278488754</v>
      </c>
      <c r="K114" s="251" t="n">
        <f aca="false">(($E107*K107)+($E108*K108)+($E109*K109)+($E110*K110)+($E111*K111)+($E113*K113))/($E115)</f>
        <v>0.609254556263002</v>
      </c>
      <c r="L114" s="251" t="n">
        <f aca="false">(($E107*L107)+($E108*L108)+($E109*L109)+($E110*L110)+($E111*L111)+($E113*L113))/($E115)</f>
        <v>0</v>
      </c>
      <c r="M114" s="251" t="n">
        <f aca="false">(($E107*M107)+($E108*M108)+($E109*M109)+($E110*M110)+($E111*M111)+($E113*M113))/($E115)</f>
        <v>1.85450169531915</v>
      </c>
      <c r="N114" s="252" t="n">
        <f aca="false">(($E107*N107)+($E108*N108)+($E109*N109)+($E110*N110)+($E111*N111)+($E113*N113))/($E115)</f>
        <v>7.53397764912049</v>
      </c>
      <c r="O114" s="251" t="n">
        <f aca="false">(($E107*O107)+($E108*O108)+($E109*O109)+($E110*O110)+($E111*O111)+($E113*O113))/($E115)</f>
        <v>1.99585467886414</v>
      </c>
      <c r="P114" s="251" t="n">
        <f aca="false">(($E107*P107)+($E108*P108)+($E109*P109)+($E110*P110)+($E111*P111)+($E113*P113))/($E115)</f>
        <v>10.062900367743</v>
      </c>
      <c r="Q114" s="251" t="n">
        <f aca="false">(($E107*Q107)+($E108*Q108)+($E109*Q109)+($E110*Q110)+($E111*Q111)+($E113*Q113))/($E115)</f>
        <v>3.16779167139211</v>
      </c>
      <c r="R114" s="251" t="n">
        <f aca="false">(($E107*R107)+($E108*R108)+($E109*R109)+($E110*R110)+($E111*R111)+($E113*R113))/($E115)</f>
        <v>0.00352544556977508</v>
      </c>
      <c r="S114" s="251" t="n">
        <f aca="false">(($E107*S107)+($E108*S108)+($E109*S109)+($E110*S110)+($E111*S111)+($E113*S113))/($E115)</f>
        <v>0</v>
      </c>
      <c r="T114" s="251" t="n">
        <f aca="false">(($E107*T107)+($E108*T108)+($E109*T109)+($E110*T110)+($E111*T111)+($E113*T113))/($E115)</f>
        <v>0</v>
      </c>
      <c r="U114" s="251" t="n">
        <f aca="false">(($E107*U107)+($E108*U108)+($E109*U109)+($E110*U110)+($E111*U111)+($E113*U113))/($E115)</f>
        <v>0</v>
      </c>
      <c r="V114" s="253" t="n">
        <f aca="false">(($E107*V107)+($E108*V108)+($E109*V109)+($E110*V110)+($E111*V111)+($E113*V113))/($E115)</f>
        <v>-4.29118015776928</v>
      </c>
      <c r="W114" s="251" t="n">
        <f aca="false">(($E107*W107)+($E108*W108)+($E109*W109)+($E110*W110)+($E111*W111)+($E113*W113))/($E115)</f>
        <v>11.9516229093155</v>
      </c>
      <c r="X114" s="251" t="n">
        <f aca="false">(($E107*X107)+($E108*X108)+($E109*X109)+($E110*X110)+($E111*X111)+($E113*X113))/($E115)</f>
        <v>5.71162437720698</v>
      </c>
      <c r="Y114" s="251" t="n">
        <f aca="false">(($E107*Y107)+($E108*Y108)+($E109*Y109)+($E110*Y110)+($E111*Y111)+($E113*Y113))/($E115)</f>
        <v>0.0141017822791003</v>
      </c>
      <c r="Z114" s="251" t="n">
        <f aca="false">(($E107*Z107)+($E108*Z108)+($E109*Z109)+($E110*Z110)+($E111*Z111)+($E113*Z113))/($E115)</f>
        <v>0.609254556263002</v>
      </c>
      <c r="AA114" s="251" t="n">
        <f aca="false">(($E107*AA107)+($E108*AA108)+($E109*AA109)+($E110*AA110)+($E111*AA111)+($E113*AA113))/($E115)</f>
        <v>0</v>
      </c>
      <c r="AB114" s="251" t="n">
        <f aca="false">(($E107*AB107)+($E108*AB108)+($E109*AB109)+($E110*AB110)+($E111*AB111)+($E113*AB113))/($E115)</f>
        <v>1.85450169531915</v>
      </c>
      <c r="AC114" s="253" t="n">
        <f aca="false">SUM(AC107:AC113)/$E115</f>
        <v>6.9538749685548</v>
      </c>
      <c r="AD114" s="251" t="n">
        <f aca="false">SUM(AD107:AD113)/$E115</f>
        <v>24.0103779559227</v>
      </c>
      <c r="AE114" s="251" t="n">
        <f aca="false">SUM(AE107:AE113)/$E115</f>
        <v>10.2599368701188</v>
      </c>
      <c r="AF114" s="251" t="n">
        <f aca="false">SUM(AF107:AF113)/$E115</f>
        <v>0.0207</v>
      </c>
      <c r="AG114" s="251" t="n">
        <f aca="false">SUM(AG107:AG113)/$E115</f>
        <v>2.71211434225556</v>
      </c>
      <c r="AH114" s="251" t="n">
        <f aca="false">SUM(AH107:AH113)/$E115</f>
        <v>0</v>
      </c>
      <c r="AI114" s="251" t="n">
        <f aca="false">SUM(AI107:AI113)/$E115</f>
        <v>1.85450169531915</v>
      </c>
      <c r="AJ114" s="252" t="n">
        <f aca="false">SUM(AJ107:AJ113)/$E115</f>
        <v>12.5981139745125</v>
      </c>
      <c r="AK114" s="251" t="n">
        <f aca="false">SUM(AK107:AK113)/$E115</f>
        <v>2.55251630044468</v>
      </c>
      <c r="AL114" s="251" t="n">
        <f aca="false">SUM(AL107:AL113)/$E115</f>
        <v>10.062900367743</v>
      </c>
      <c r="AM114" s="251" t="n">
        <f aca="false">SUM(AM107:AM113)/$E115</f>
        <v>3.72</v>
      </c>
      <c r="AN114" s="251" t="n">
        <f aca="false">SUM(AN107:AN113)/$E115</f>
        <v>0.00414</v>
      </c>
      <c r="AO114" s="251" t="n">
        <f aca="false">SUM(AO107:AO113)/$E115</f>
        <v>2.71211434225556</v>
      </c>
      <c r="AP114" s="251" t="n">
        <f aca="false">SUM(AP107:AP113)/$E115</f>
        <v>0</v>
      </c>
      <c r="AQ114" s="251" t="n">
        <f aca="false">SUM(AQ107:AQ113)/$E115</f>
        <v>0</v>
      </c>
      <c r="AR114" s="252" t="n">
        <f aca="false">SUM(AR107:AR113)/$E115</f>
        <v>-5.64423900595771</v>
      </c>
      <c r="AS114" s="251" t="n">
        <f aca="false">SUM(AS107:AS113)/$E115</f>
        <v>11.394961287735</v>
      </c>
      <c r="AT114" s="251" t="n">
        <f aca="false">SUM(AT107:AT113)/$E115</f>
        <v>6.53993687011882</v>
      </c>
      <c r="AU114" s="251" t="n">
        <f aca="false">SUM(AU107:AU113)/$E115</f>
        <v>0.01656</v>
      </c>
      <c r="AV114" s="251" t="n">
        <f aca="false">SUM(AV107:AV113)/$E115</f>
        <v>0</v>
      </c>
      <c r="AW114" s="251" t="n">
        <f aca="false">SUM(AW107:AW113)/$E115</f>
        <v>0</v>
      </c>
      <c r="AX114" s="251" t="n">
        <f aca="false">SUM(AX107:AX113)/$E115</f>
        <v>1.85450169531915</v>
      </c>
      <c r="AY114" s="254" t="n">
        <f aca="false">SUM(AY107:AY113)/$E115</f>
        <v>229</v>
      </c>
      <c r="AZ114" s="255" t="n">
        <f aca="false">SUM(AZ107:AZ113)/$E115</f>
        <v>93</v>
      </c>
      <c r="BA114" s="256" t="n">
        <f aca="false">SUM(BA107:BA113)/$E115</f>
        <v>0.207</v>
      </c>
      <c r="BB114" s="253" t="n">
        <f aca="false">SUM(BB107:BB113)/$E115</f>
        <v>-2.607105408554</v>
      </c>
      <c r="BC114" s="257" t="n">
        <f aca="false">SUM(BC107:BC113)/$E115</f>
        <v>0</v>
      </c>
      <c r="BD114" s="2"/>
      <c r="BE114" s="2"/>
      <c r="BF114" s="2"/>
      <c r="BG114" s="2"/>
      <c r="BH114" s="2"/>
      <c r="BI114" s="2"/>
      <c r="BJ114" s="2"/>
      <c r="BK114" s="2"/>
      <c r="BL114" s="2"/>
      <c r="BM114" s="2"/>
    </row>
    <row r="115" customFormat="false" ht="12.75" hidden="false" customHeight="true" outlineLevel="0" collapsed="false">
      <c r="A115" s="2"/>
      <c r="B115" s="258"/>
      <c r="C115" s="285" t="s">
        <v>73</v>
      </c>
      <c r="D115" s="260" t="n">
        <f aca="false">SUM(D107:D113)</f>
        <v>1</v>
      </c>
      <c r="E115" s="261" t="n">
        <f aca="false">SUM(E107:E113)</f>
        <v>1010.4882</v>
      </c>
      <c r="F115" s="262"/>
      <c r="G115" s="262"/>
      <c r="H115" s="262"/>
      <c r="I115" s="262"/>
      <c r="J115" s="262"/>
      <c r="K115" s="262"/>
      <c r="L115" s="262"/>
      <c r="M115" s="263"/>
      <c r="N115" s="264"/>
      <c r="O115" s="262"/>
      <c r="P115" s="262"/>
      <c r="Q115" s="262"/>
      <c r="R115" s="262"/>
      <c r="S115" s="262"/>
      <c r="T115" s="262"/>
      <c r="U115" s="262"/>
      <c r="V115" s="265"/>
      <c r="W115" s="262"/>
      <c r="X115" s="262"/>
      <c r="Y115" s="262"/>
      <c r="Z115" s="262"/>
      <c r="AA115" s="262"/>
      <c r="AB115" s="262"/>
      <c r="AC115" s="265" t="n">
        <f aca="false">SUM(AC107:AC113)</f>
        <v>7026.8086</v>
      </c>
      <c r="AD115" s="262" t="n">
        <f aca="false">SUM(AD107:AD113)</f>
        <v>24262.203602</v>
      </c>
      <c r="AE115" s="262" t="n">
        <f aca="false">SUM(AE107:AE113)</f>
        <v>10367.54514</v>
      </c>
      <c r="AF115" s="262" t="n">
        <f aca="false">SUM(AF107:AF113)</f>
        <v>20.91710574</v>
      </c>
      <c r="AG115" s="262" t="n">
        <f aca="false">SUM(AG107:AG113)</f>
        <v>2740.5595399</v>
      </c>
      <c r="AH115" s="262" t="n">
        <f aca="false">SUM(AH107:AH113)</f>
        <v>0</v>
      </c>
      <c r="AI115" s="262" t="n">
        <f aca="false">SUM(AI107:AI113)</f>
        <v>1873.95208</v>
      </c>
      <c r="AJ115" s="264" t="n">
        <f aca="false">SUM(AJ107:AJ113)</f>
        <v>12730.2455135</v>
      </c>
      <c r="AK115" s="262" t="n">
        <f aca="false">SUM(AK107:AK113)</f>
        <v>2579.287601907</v>
      </c>
      <c r="AL115" s="262" t="n">
        <f aca="false">SUM(AL107:AL113)</f>
        <v>10168.44207938</v>
      </c>
      <c r="AM115" s="262" t="n">
        <f aca="false">SUM(AM107:AM113)</f>
        <v>3759.016104</v>
      </c>
      <c r="AN115" s="262" t="n">
        <f aca="false">SUM(AN107:AN113)</f>
        <v>4.183421148</v>
      </c>
      <c r="AO115" s="262" t="n">
        <f aca="false">SUM(AO107:AO113)</f>
        <v>2740.5595399</v>
      </c>
      <c r="AP115" s="262" t="n">
        <f aca="false">SUM(AP107:AP113)</f>
        <v>0</v>
      </c>
      <c r="AQ115" s="263" t="n">
        <f aca="false">SUM(AQ107:AQ113)</f>
        <v>0</v>
      </c>
      <c r="AR115" s="264" t="n">
        <f aca="false">SUM(AR107:AR113)</f>
        <v>-5703.4369135</v>
      </c>
      <c r="AS115" s="262" t="n">
        <f aca="false">SUM(AS107:AS113)</f>
        <v>11514.473920713</v>
      </c>
      <c r="AT115" s="262" t="n">
        <f aca="false">SUM(AT107:AT113)</f>
        <v>6608.529036</v>
      </c>
      <c r="AU115" s="262" t="n">
        <f aca="false">SUM(AU107:AU113)</f>
        <v>16.733684592</v>
      </c>
      <c r="AV115" s="262" t="n">
        <f aca="false">SUM(AV107:AV113)</f>
        <v>0</v>
      </c>
      <c r="AW115" s="262" t="n">
        <f aca="false">SUM(AW107:AW113)</f>
        <v>0</v>
      </c>
      <c r="AX115" s="270" t="n">
        <f aca="false">SUM(AX107:AX113)</f>
        <v>1873.95208</v>
      </c>
      <c r="AY115" s="271" t="n">
        <f aca="false">SUM(AY107:AY113)</f>
        <v>231401.7978</v>
      </c>
      <c r="AZ115" s="272" t="n">
        <f aca="false">SUM(AZ107:AZ113)</f>
        <v>93975.4026</v>
      </c>
      <c r="BA115" s="261" t="n">
        <f aca="false">SUM(BA107:BA113)</f>
        <v>209.1710574</v>
      </c>
      <c r="BB115" s="273" t="n">
        <f aca="false">SUM(BB107:BB113)</f>
        <v>-2634.4492515</v>
      </c>
      <c r="BC115" s="274" t="n">
        <f aca="false">SUM(BC107:BC113)</f>
        <v>0</v>
      </c>
      <c r="BD115" s="2"/>
      <c r="BE115" s="2"/>
      <c r="BF115" s="2"/>
      <c r="BG115" s="2"/>
      <c r="BH115" s="2"/>
      <c r="BI115" s="2"/>
      <c r="BJ115" s="2"/>
      <c r="BK115" s="2"/>
      <c r="BL115" s="2"/>
      <c r="BM115" s="2"/>
    </row>
    <row r="116" customFormat="false" ht="12.75" hidden="false" customHeight="true" outlineLevel="0" collapsed="false">
      <c r="A116" s="2"/>
      <c r="B116" s="138" t="str">
        <f aca="false">B37</f>
        <v>Brand 8</v>
      </c>
      <c r="C116" s="275" t="str">
        <f aca="false">$C$42</f>
        <v>Program 1</v>
      </c>
      <c r="D116" s="286" t="n">
        <f aca="false">D107</f>
        <v>0.27</v>
      </c>
      <c r="E116" s="230" t="n">
        <f aca="false">D116*$D$37</f>
        <v>1350</v>
      </c>
      <c r="F116" s="278" t="n">
        <v>0</v>
      </c>
      <c r="G116" s="3" t="n">
        <f aca="false">$K$42*F116</f>
        <v>0</v>
      </c>
      <c r="H116" s="3" t="n">
        <f aca="false">IF($C$23&gt;$E$42,($C$23-$E$42)*$G$42,0)</f>
        <v>29.77</v>
      </c>
      <c r="I116" s="3" t="n">
        <f aca="false">IF($C$24&gt;$F$42,($C$24-$F$42)*$H$42,0)</f>
        <v>9.3</v>
      </c>
      <c r="J116" s="3" t="n">
        <f aca="false">$C$25*$I$42</f>
        <v>0.0207</v>
      </c>
      <c r="K116" s="3" t="n">
        <f aca="false">IF($E$42&gt;$C$23,($E$42-$C$23)*$C$8,0)</f>
        <v>0</v>
      </c>
      <c r="L116" s="3" t="n">
        <f aca="false">IF($F$42&gt;$C$24,($F$42-$C$24)*$C$9,0)</f>
        <v>0</v>
      </c>
      <c r="M116" s="231" t="n">
        <v>0</v>
      </c>
      <c r="N116" s="232" t="n">
        <f aca="false">$C$2+($E$42*$C$8)+($F$42*$C$9)</f>
        <v>5.27</v>
      </c>
      <c r="O116" s="3" t="n">
        <f aca="false">$C$11*G116+$C$11*P116</f>
        <v>2.201835</v>
      </c>
      <c r="P116" s="3" t="n">
        <f aca="false">IF($C$23&gt;$E$42,($C$23-$E$42)*$C$8,0)</f>
        <v>14.6789</v>
      </c>
      <c r="Q116" s="3" t="n">
        <f aca="false">IF($C$24&gt;$F$42,($C$24-$F$42)*$C$9,0)</f>
        <v>3.72</v>
      </c>
      <c r="R116" s="3" t="n">
        <f aca="false">$C$25*($C$10*10000/1000000)</f>
        <v>0.00414</v>
      </c>
      <c r="S116" s="277" t="n">
        <v>0</v>
      </c>
      <c r="T116" s="277" t="n">
        <v>0</v>
      </c>
      <c r="U116" s="277" t="n">
        <v>0</v>
      </c>
      <c r="V116" s="278" t="n">
        <f aca="false">F116-N116</f>
        <v>-5.27</v>
      </c>
      <c r="W116" s="277" t="n">
        <f aca="false">H116-P116-O116</f>
        <v>12.889265</v>
      </c>
      <c r="X116" s="277" t="n">
        <f aca="false">I116-Q116</f>
        <v>5.58</v>
      </c>
      <c r="Y116" s="277" t="n">
        <f aca="false">J116-R116</f>
        <v>0.01656</v>
      </c>
      <c r="Z116" s="277" t="n">
        <f aca="false">K116-S116</f>
        <v>0</v>
      </c>
      <c r="AA116" s="277" t="n">
        <f aca="false">L116-T116</f>
        <v>0</v>
      </c>
      <c r="AB116" s="277" t="n">
        <f aca="false">M116-U116</f>
        <v>0</v>
      </c>
      <c r="AC116" s="278" t="n">
        <f aca="false">$E116*F116</f>
        <v>0</v>
      </c>
      <c r="AD116" s="277" t="n">
        <f aca="false">E116*H116</f>
        <v>40189.5</v>
      </c>
      <c r="AE116" s="277" t="n">
        <f aca="false">E116*I116</f>
        <v>12555</v>
      </c>
      <c r="AF116" s="277" t="n">
        <f aca="false">E116*J116</f>
        <v>27.945</v>
      </c>
      <c r="AG116" s="277" t="n">
        <f aca="false">E116*K116</f>
        <v>0</v>
      </c>
      <c r="AH116" s="277" t="n">
        <f aca="false">E116*L116</f>
        <v>0</v>
      </c>
      <c r="AI116" s="279" t="n">
        <f aca="false">E116*M116</f>
        <v>0</v>
      </c>
      <c r="AJ116" s="280" t="n">
        <f aca="false">$E116*N116</f>
        <v>7114.5</v>
      </c>
      <c r="AK116" s="277" t="n">
        <f aca="false">E116*O116</f>
        <v>2972.47725</v>
      </c>
      <c r="AL116" s="277" t="n">
        <f aca="false">E116*P116</f>
        <v>19816.515</v>
      </c>
      <c r="AM116" s="277" t="n">
        <f aca="false">E116*Q116</f>
        <v>5022</v>
      </c>
      <c r="AN116" s="277" t="n">
        <f aca="false">E116*R116</f>
        <v>5.589</v>
      </c>
      <c r="AO116" s="277" t="n">
        <f aca="false">E116*Z116</f>
        <v>0</v>
      </c>
      <c r="AP116" s="277" t="n">
        <f aca="false">E116*T116</f>
        <v>0</v>
      </c>
      <c r="AQ116" s="279" t="n">
        <f aca="false">E116*U116</f>
        <v>0</v>
      </c>
      <c r="AR116" s="3" t="n">
        <f aca="false">AC116-AJ116</f>
        <v>-7114.5</v>
      </c>
      <c r="AS116" s="3" t="n">
        <f aca="false">AD116-AK116-AL116</f>
        <v>17400.50775</v>
      </c>
      <c r="AT116" s="3" t="n">
        <f aca="false">AE116-AM116</f>
        <v>7533</v>
      </c>
      <c r="AU116" s="3" t="n">
        <f aca="false">AF116-AN116</f>
        <v>22.356</v>
      </c>
      <c r="AV116" s="3" t="n">
        <f aca="false">AG116-AO116</f>
        <v>0</v>
      </c>
      <c r="AW116" s="3" t="n">
        <f aca="false">AH116-AP116</f>
        <v>0</v>
      </c>
      <c r="AX116" s="238" t="n">
        <f aca="false">AI116-AQ116</f>
        <v>0</v>
      </c>
      <c r="AY116" s="5" t="n">
        <f aca="false">E116*$C$23</f>
        <v>309150</v>
      </c>
      <c r="AZ116" s="5" t="n">
        <f aca="false">E116*$C$24</f>
        <v>125550</v>
      </c>
      <c r="BA116" s="230" t="n">
        <f aca="false">E116*$C$25</f>
        <v>279.45</v>
      </c>
      <c r="BB116" s="24" t="n">
        <f aca="false">$K$42*AR116</f>
        <v>-0</v>
      </c>
      <c r="BC116" s="35" t="n">
        <f aca="false">$L$42*AR116</f>
        <v>-0</v>
      </c>
      <c r="BD116" s="2"/>
      <c r="BE116" s="2"/>
      <c r="BF116" s="2"/>
      <c r="BG116" s="2"/>
      <c r="BH116" s="2"/>
      <c r="BI116" s="2"/>
      <c r="BJ116" s="2"/>
      <c r="BK116" s="2"/>
      <c r="BL116" s="2"/>
      <c r="BM116" s="2"/>
    </row>
    <row r="117" customFormat="false" ht="12.75" hidden="false" customHeight="true" outlineLevel="0" collapsed="false">
      <c r="A117" s="2"/>
      <c r="B117" s="56"/>
      <c r="C117" s="25" t="str">
        <f aca="false">$C$43</f>
        <v>Program 2</v>
      </c>
      <c r="D117" s="281" t="n">
        <f aca="false">D108</f>
        <v>0.4</v>
      </c>
      <c r="E117" s="230" t="n">
        <f aca="false">D117*$D$37</f>
        <v>2000</v>
      </c>
      <c r="F117" s="235" t="n">
        <v>0</v>
      </c>
      <c r="G117" s="3" t="n">
        <f aca="false">$K$43*F117</f>
        <v>0</v>
      </c>
      <c r="H117" s="3" t="n">
        <f aca="false">IF($C$23&gt;$E$43,($C$23-$E$43)*$G$43,0)</f>
        <v>38.93</v>
      </c>
      <c r="I117" s="3" t="n">
        <f aca="false">IF($C$24&gt;$F$43,($C$24-$F$43)*$H$43,0)</f>
        <v>12.09</v>
      </c>
      <c r="J117" s="3" t="n">
        <f aca="false">$C$25*$I$43</f>
        <v>0.0207</v>
      </c>
      <c r="K117" s="3" t="n">
        <f aca="false">IF($E$43&gt;$C$23,($E$43-$C$23)*$C$8,0)</f>
        <v>0</v>
      </c>
      <c r="L117" s="3" t="n">
        <f aca="false">IF($F$43&gt;$C$24,($F$43-$C$24)*$C$9,0)</f>
        <v>0</v>
      </c>
      <c r="M117" s="231" t="n">
        <v>4.2</v>
      </c>
      <c r="N117" s="232" t="n">
        <f aca="false">$C$2+($E$43*$C$8)+($F$43*$C$9)</f>
        <v>5.27</v>
      </c>
      <c r="O117" s="3" t="n">
        <f aca="false">$C$11*G117+$C$11*P117</f>
        <v>2.201835</v>
      </c>
      <c r="P117" s="3" t="n">
        <f aca="false">IF($C$23&gt;$E$43,($C$23-$E$43)*$C$8,0)</f>
        <v>14.6789</v>
      </c>
      <c r="Q117" s="3" t="n">
        <f aca="false">IF($C$24&gt;$F$43,($C$24-$F$43)*$C$9,0)</f>
        <v>3.72</v>
      </c>
      <c r="R117" s="3" t="n">
        <f aca="false">$C$25*($C$10*10000/1000000)</f>
        <v>0.00414</v>
      </c>
      <c r="S117" s="3" t="n">
        <v>0</v>
      </c>
      <c r="T117" s="3" t="n">
        <v>0</v>
      </c>
      <c r="U117" s="3" t="n">
        <v>0</v>
      </c>
      <c r="V117" s="235" t="n">
        <f aca="false">F117-N117</f>
        <v>-5.27</v>
      </c>
      <c r="W117" s="3" t="n">
        <f aca="false">H117-P117-O117</f>
        <v>22.049265</v>
      </c>
      <c r="X117" s="3" t="n">
        <f aca="false">I117-Q117</f>
        <v>8.37</v>
      </c>
      <c r="Y117" s="3" t="n">
        <f aca="false">J117-R117</f>
        <v>0.01656</v>
      </c>
      <c r="Z117" s="3" t="n">
        <f aca="false">K117-S117</f>
        <v>0</v>
      </c>
      <c r="AA117" s="3" t="n">
        <f aca="false">L117-T117</f>
        <v>0</v>
      </c>
      <c r="AB117" s="3" t="n">
        <f aca="false">M117-U117</f>
        <v>4.2</v>
      </c>
      <c r="AC117" s="235" t="n">
        <f aca="false">$E117*F117</f>
        <v>0</v>
      </c>
      <c r="AD117" s="3" t="n">
        <f aca="false">E117*H117</f>
        <v>77860</v>
      </c>
      <c r="AE117" s="3" t="n">
        <f aca="false">E117*I117</f>
        <v>24180</v>
      </c>
      <c r="AF117" s="3" t="n">
        <f aca="false">E117*J117</f>
        <v>41.4</v>
      </c>
      <c r="AG117" s="3" t="n">
        <f aca="false">E117*K117</f>
        <v>0</v>
      </c>
      <c r="AH117" s="3" t="n">
        <f aca="false">E117*L117</f>
        <v>0</v>
      </c>
      <c r="AI117" s="231" t="n">
        <f aca="false">E117*M117</f>
        <v>8400</v>
      </c>
      <c r="AJ117" s="232" t="n">
        <f aca="false">$E117*N117</f>
        <v>10540</v>
      </c>
      <c r="AK117" s="3" t="n">
        <f aca="false">E117*O117</f>
        <v>4403.67</v>
      </c>
      <c r="AL117" s="3" t="n">
        <f aca="false">E117*P117</f>
        <v>29357.8</v>
      </c>
      <c r="AM117" s="3" t="n">
        <f aca="false">E117*Q117</f>
        <v>7440</v>
      </c>
      <c r="AN117" s="3" t="n">
        <f aca="false">E117*R117</f>
        <v>8.28</v>
      </c>
      <c r="AO117" s="3" t="n">
        <f aca="false">E117*Z117</f>
        <v>0</v>
      </c>
      <c r="AP117" s="3" t="n">
        <f aca="false">E117*T117</f>
        <v>0</v>
      </c>
      <c r="AQ117" s="231" t="n">
        <f aca="false">E117*U117</f>
        <v>0</v>
      </c>
      <c r="AR117" s="3" t="n">
        <f aca="false">AC117-AJ117</f>
        <v>-10540</v>
      </c>
      <c r="AS117" s="3" t="n">
        <f aca="false">AD117-AK117-AL117</f>
        <v>44098.53</v>
      </c>
      <c r="AT117" s="3" t="n">
        <f aca="false">AE117-AM117</f>
        <v>16740</v>
      </c>
      <c r="AU117" s="3" t="n">
        <f aca="false">AF117-AN117</f>
        <v>33.12</v>
      </c>
      <c r="AV117" s="3" t="n">
        <f aca="false">AG117-AO117</f>
        <v>0</v>
      </c>
      <c r="AW117" s="3" t="n">
        <f aca="false">AH117-AP117</f>
        <v>0</v>
      </c>
      <c r="AX117" s="238" t="n">
        <f aca="false">AI117-AQ117</f>
        <v>8400</v>
      </c>
      <c r="AY117" s="5" t="n">
        <f aca="false">E117*$C$23</f>
        <v>458000</v>
      </c>
      <c r="AZ117" s="5" t="n">
        <f aca="false">E117*$C$24</f>
        <v>186000</v>
      </c>
      <c r="BA117" s="230" t="n">
        <f aca="false">E117*$C$25</f>
        <v>414</v>
      </c>
      <c r="BB117" s="24" t="n">
        <f aca="false">$K$43*AR117</f>
        <v>-0</v>
      </c>
      <c r="BC117" s="35" t="n">
        <f aca="false">$L$43*AR117</f>
        <v>-0</v>
      </c>
      <c r="BD117" s="2"/>
      <c r="BE117" s="2"/>
      <c r="BF117" s="2"/>
      <c r="BG117" s="2"/>
      <c r="BH117" s="2"/>
      <c r="BI117" s="2"/>
      <c r="BJ117" s="2"/>
      <c r="BK117" s="2"/>
      <c r="BL117" s="2"/>
      <c r="BM117" s="2"/>
    </row>
    <row r="118" customFormat="false" ht="12.75" hidden="false" customHeight="true" outlineLevel="0" collapsed="false">
      <c r="A118" s="2"/>
      <c r="B118" s="56"/>
      <c r="C118" s="25" t="str">
        <f aca="false">$C$44</f>
        <v>Program 3</v>
      </c>
      <c r="D118" s="281" t="n">
        <f aca="false">D109</f>
        <v>0.17</v>
      </c>
      <c r="E118" s="230" t="n">
        <f aca="false">D118*$D$37</f>
        <v>850</v>
      </c>
      <c r="F118" s="235" t="n">
        <v>6</v>
      </c>
      <c r="G118" s="3" t="n">
        <f aca="false">$K$44*F118</f>
        <v>6</v>
      </c>
      <c r="H118" s="3" t="n">
        <f aca="false">IF($C$23&gt;$E$44,($C$23-$E$44)*$G$44,0)</f>
        <v>23.1</v>
      </c>
      <c r="I118" s="3" t="n">
        <f aca="false">IF($C$24&gt;$F$44,($C$24-$F$44)*$H$44,0)</f>
        <v>9.3</v>
      </c>
      <c r="J118" s="3" t="n">
        <f aca="false">$C$25*$I$44</f>
        <v>0.0207</v>
      </c>
      <c r="K118" s="3" t="n">
        <f aca="false">IF($E$44&gt;$C$23,($E$44-$C$23)*$C$8,0)</f>
        <v>0</v>
      </c>
      <c r="L118" s="3" t="n">
        <f aca="false">IF($F$44&gt;$C$24,($F$44-$C$24)*$C$9,0)</f>
        <v>0</v>
      </c>
      <c r="M118" s="231" t="n">
        <v>2.8</v>
      </c>
      <c r="N118" s="232" t="n">
        <f aca="false">$C$2+($E$44*$C$8)+($F$44*$C$9)</f>
        <v>10.0775</v>
      </c>
      <c r="O118" s="3" t="n">
        <f aca="false">$C$11*G118+$C$11*P118</f>
        <v>2.38071</v>
      </c>
      <c r="P118" s="3" t="n">
        <f aca="false">IF($C$23&gt;$E$44,($C$23-$E$44)*$C$8,0)</f>
        <v>9.8714</v>
      </c>
      <c r="Q118" s="3" t="n">
        <f aca="false">IF($C$24&gt;$F$44,($C$24-$F$44)*$C$9,0)</f>
        <v>3.72</v>
      </c>
      <c r="R118" s="3" t="n">
        <f aca="false">$C$25*($C$10*10000/1000000)</f>
        <v>0.00414</v>
      </c>
      <c r="S118" s="3" t="n">
        <v>0</v>
      </c>
      <c r="T118" s="3" t="n">
        <v>0</v>
      </c>
      <c r="U118" s="3" t="n">
        <v>0</v>
      </c>
      <c r="V118" s="235" t="n">
        <f aca="false">F118-N118</f>
        <v>-4.0775</v>
      </c>
      <c r="W118" s="3" t="n">
        <f aca="false">H118-P118-O118</f>
        <v>10.84789</v>
      </c>
      <c r="X118" s="3" t="n">
        <f aca="false">I118-Q118</f>
        <v>5.58</v>
      </c>
      <c r="Y118" s="3" t="n">
        <f aca="false">J118-R118</f>
        <v>0.01656</v>
      </c>
      <c r="Z118" s="3" t="n">
        <f aca="false">K118-S118</f>
        <v>0</v>
      </c>
      <c r="AA118" s="3" t="n">
        <f aca="false">L118-T118</f>
        <v>0</v>
      </c>
      <c r="AB118" s="3" t="n">
        <f aca="false">M118-U118</f>
        <v>2.8</v>
      </c>
      <c r="AC118" s="235" t="n">
        <f aca="false">$E118*F118</f>
        <v>5100</v>
      </c>
      <c r="AD118" s="3" t="n">
        <f aca="false">E118*H118</f>
        <v>19635</v>
      </c>
      <c r="AE118" s="3" t="n">
        <f aca="false">E118*I118</f>
        <v>7905</v>
      </c>
      <c r="AF118" s="3" t="n">
        <f aca="false">E118*J118</f>
        <v>17.595</v>
      </c>
      <c r="AG118" s="3" t="n">
        <f aca="false">E118*K118</f>
        <v>0</v>
      </c>
      <c r="AH118" s="3" t="n">
        <f aca="false">E118*L118</f>
        <v>0</v>
      </c>
      <c r="AI118" s="231" t="n">
        <f aca="false">E118*M118</f>
        <v>2380</v>
      </c>
      <c r="AJ118" s="232" t="n">
        <f aca="false">$E118*N118</f>
        <v>8565.875</v>
      </c>
      <c r="AK118" s="3" t="n">
        <f aca="false">E118*O118</f>
        <v>2023.6035</v>
      </c>
      <c r="AL118" s="3" t="n">
        <f aca="false">E118*P118</f>
        <v>8390.69</v>
      </c>
      <c r="AM118" s="3" t="n">
        <f aca="false">E118*Q118</f>
        <v>3162</v>
      </c>
      <c r="AN118" s="3" t="n">
        <f aca="false">E118*R118</f>
        <v>3.519</v>
      </c>
      <c r="AO118" s="3" t="n">
        <f aca="false">E118*Z118</f>
        <v>0</v>
      </c>
      <c r="AP118" s="3" t="n">
        <f aca="false">E118*T118</f>
        <v>0</v>
      </c>
      <c r="AQ118" s="231" t="n">
        <f aca="false">E118*U118</f>
        <v>0</v>
      </c>
      <c r="AR118" s="3" t="n">
        <f aca="false">AC118-AJ118</f>
        <v>-3465.875</v>
      </c>
      <c r="AS118" s="3" t="n">
        <f aca="false">AD118-AK118-AL118</f>
        <v>9220.7065</v>
      </c>
      <c r="AT118" s="3" t="n">
        <f aca="false">AE118-AM118</f>
        <v>4743</v>
      </c>
      <c r="AU118" s="3" t="n">
        <f aca="false">AF118-AN118</f>
        <v>14.076</v>
      </c>
      <c r="AV118" s="3" t="n">
        <f aca="false">AG118-AO118</f>
        <v>0</v>
      </c>
      <c r="AW118" s="3" t="n">
        <f aca="false">AH118-AP118</f>
        <v>0</v>
      </c>
      <c r="AX118" s="238" t="n">
        <f aca="false">AI118-AQ118</f>
        <v>2380</v>
      </c>
      <c r="AY118" s="5" t="n">
        <f aca="false">E118*$C$23</f>
        <v>194650</v>
      </c>
      <c r="AZ118" s="5" t="n">
        <f aca="false">E118*$C$24</f>
        <v>79050</v>
      </c>
      <c r="BA118" s="230" t="n">
        <f aca="false">E118*$C$25</f>
        <v>175.95</v>
      </c>
      <c r="BB118" s="24" t="n">
        <f aca="false">$K$44*AR118</f>
        <v>-3465.875</v>
      </c>
      <c r="BC118" s="35" t="n">
        <f aca="false">$L$44*AR118</f>
        <v>-0</v>
      </c>
      <c r="BD118" s="2"/>
      <c r="BE118" s="2"/>
      <c r="BF118" s="2"/>
      <c r="BG118" s="2"/>
      <c r="BH118" s="2"/>
      <c r="BI118" s="2"/>
      <c r="BJ118" s="2"/>
      <c r="BK118" s="2"/>
      <c r="BL118" s="2"/>
      <c r="BM118" s="2"/>
    </row>
    <row r="119" customFormat="false" ht="12.75" hidden="false" customHeight="true" outlineLevel="0" collapsed="false">
      <c r="A119" s="2"/>
      <c r="B119" s="56"/>
      <c r="C119" s="25" t="str">
        <f aca="false">$C$45</f>
        <v>Program 4</v>
      </c>
      <c r="D119" s="281" t="n">
        <f aca="false">D110</f>
        <v>0.1</v>
      </c>
      <c r="E119" s="230" t="n">
        <f aca="false">D119*$D$37</f>
        <v>500</v>
      </c>
      <c r="F119" s="235" t="n">
        <v>15</v>
      </c>
      <c r="G119" s="3" t="n">
        <f aca="false">$K$45*F119</f>
        <v>15</v>
      </c>
      <c r="H119" s="3" t="n">
        <f aca="false">IF($C$23&gt;$E$45,($C$23-$E$45)*$G$45,0)</f>
        <v>3.77</v>
      </c>
      <c r="I119" s="3" t="n">
        <f aca="false">IF($C$24&gt;$F$45,($C$24-$F$45)*$H$45,0)</f>
        <v>9.3</v>
      </c>
      <c r="J119" s="3" t="n">
        <f aca="false">$C$25*$I$45</f>
        <v>0.0207</v>
      </c>
      <c r="K119" s="3" t="n">
        <f aca="false">IF($E$45&gt;$C$23,($E$45-$C$23)*$C$8,0)</f>
        <v>0</v>
      </c>
      <c r="L119" s="3" t="n">
        <f aca="false">IF($F$45&gt;$C$24,($F$45-$C$24)*$C$9,0)</f>
        <v>0</v>
      </c>
      <c r="M119" s="231" t="n">
        <v>0</v>
      </c>
      <c r="N119" s="232" t="n">
        <f aca="false">$C$2+($E$45*$C$8)+($F$45*$C$9)</f>
        <v>18.09</v>
      </c>
      <c r="O119" s="3" t="n">
        <f aca="false">$C$11*G119+$C$11*P119</f>
        <v>2.528835</v>
      </c>
      <c r="P119" s="3" t="n">
        <f aca="false">IF($C$23&gt;$E$45,($C$23-$E$45)*$C$8,0)</f>
        <v>1.8589</v>
      </c>
      <c r="Q119" s="3" t="n">
        <f aca="false">IF($C$24&gt;$F$45,($C$24-$F$45)*$C$9,0)</f>
        <v>3.72</v>
      </c>
      <c r="R119" s="3" t="n">
        <f aca="false">$C$25*($C$10*10000/1000000)</f>
        <v>0.00414</v>
      </c>
      <c r="S119" s="3" t="n">
        <v>0</v>
      </c>
      <c r="T119" s="3" t="n">
        <v>0</v>
      </c>
      <c r="U119" s="3" t="n">
        <v>0</v>
      </c>
      <c r="V119" s="235" t="n">
        <f aca="false">F119-N119</f>
        <v>-3.09</v>
      </c>
      <c r="W119" s="3" t="n">
        <f aca="false">H119-P119-O119</f>
        <v>-0.617735</v>
      </c>
      <c r="X119" s="3" t="n">
        <f aca="false">I119-Q119</f>
        <v>5.58</v>
      </c>
      <c r="Y119" s="3" t="n">
        <f aca="false">J119-R119</f>
        <v>0.01656</v>
      </c>
      <c r="Z119" s="3" t="n">
        <f aca="false">K119-S119</f>
        <v>0</v>
      </c>
      <c r="AA119" s="3" t="n">
        <f aca="false">L119-T119</f>
        <v>0</v>
      </c>
      <c r="AB119" s="3" t="n">
        <f aca="false">M119-U119</f>
        <v>0</v>
      </c>
      <c r="AC119" s="235" t="n">
        <f aca="false">$E119*F119</f>
        <v>7500</v>
      </c>
      <c r="AD119" s="3" t="n">
        <f aca="false">E119*H119</f>
        <v>1885</v>
      </c>
      <c r="AE119" s="3" t="n">
        <f aca="false">E119*I119</f>
        <v>4650</v>
      </c>
      <c r="AF119" s="3" t="n">
        <f aca="false">E119*J119</f>
        <v>10.35</v>
      </c>
      <c r="AG119" s="3" t="n">
        <f aca="false">E119*K119</f>
        <v>0</v>
      </c>
      <c r="AH119" s="3" t="n">
        <f aca="false">E119*L119</f>
        <v>0</v>
      </c>
      <c r="AI119" s="231" t="n">
        <f aca="false">E119*M119</f>
        <v>0</v>
      </c>
      <c r="AJ119" s="232" t="n">
        <f aca="false">$E119*N119</f>
        <v>9045</v>
      </c>
      <c r="AK119" s="3" t="n">
        <f aca="false">E119*O119</f>
        <v>1264.4175</v>
      </c>
      <c r="AL119" s="3" t="n">
        <f aca="false">E119*P119</f>
        <v>929.45</v>
      </c>
      <c r="AM119" s="3" t="n">
        <f aca="false">E119*Q119</f>
        <v>1860</v>
      </c>
      <c r="AN119" s="3" t="n">
        <f aca="false">E119*R119</f>
        <v>2.07</v>
      </c>
      <c r="AO119" s="3" t="n">
        <f aca="false">E119*Z119</f>
        <v>0</v>
      </c>
      <c r="AP119" s="3" t="n">
        <f aca="false">E119*T119</f>
        <v>0</v>
      </c>
      <c r="AQ119" s="231" t="n">
        <f aca="false">E119*U119</f>
        <v>0</v>
      </c>
      <c r="AR119" s="3" t="n">
        <f aca="false">AC119-AJ119</f>
        <v>-1545</v>
      </c>
      <c r="AS119" s="3" t="n">
        <f aca="false">AD119-AK119-AL119</f>
        <v>-308.8675</v>
      </c>
      <c r="AT119" s="3" t="n">
        <f aca="false">AE119-AM119</f>
        <v>2790</v>
      </c>
      <c r="AU119" s="3" t="n">
        <f aca="false">AF119-AN119</f>
        <v>8.28</v>
      </c>
      <c r="AV119" s="3" t="n">
        <f aca="false">AG119-AO119</f>
        <v>0</v>
      </c>
      <c r="AW119" s="3" t="n">
        <f aca="false">AH119-AP119</f>
        <v>0</v>
      </c>
      <c r="AX119" s="238" t="n">
        <f aca="false">AI119-AQ119</f>
        <v>0</v>
      </c>
      <c r="AY119" s="5" t="n">
        <f aca="false">E119*$C$23</f>
        <v>114500</v>
      </c>
      <c r="AZ119" s="5" t="n">
        <f aca="false">E119*$C$24</f>
        <v>46500</v>
      </c>
      <c r="BA119" s="230" t="n">
        <f aca="false">E119*$C$25</f>
        <v>103.5</v>
      </c>
      <c r="BB119" s="24" t="n">
        <f aca="false">$K$45*AR119</f>
        <v>-1545</v>
      </c>
      <c r="BC119" s="35" t="n">
        <f aca="false">$L$45*AR119</f>
        <v>-0</v>
      </c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 customFormat="false" ht="12.75" hidden="false" customHeight="true" outlineLevel="0" collapsed="false">
      <c r="A120" s="2"/>
      <c r="B120" s="56"/>
      <c r="C120" s="25" t="str">
        <f aca="false">$C$46</f>
        <v>Program 5</v>
      </c>
      <c r="D120" s="281" t="n">
        <f aca="false">D111</f>
        <v>0.05</v>
      </c>
      <c r="E120" s="230" t="n">
        <f aca="false">D120*$D$37</f>
        <v>250</v>
      </c>
      <c r="F120" s="235" t="n">
        <v>25</v>
      </c>
      <c r="G120" s="3" t="n">
        <f aca="false">$K$46*F120</f>
        <v>25</v>
      </c>
      <c r="H120" s="3" t="n">
        <f aca="false">IF($C$23&gt;$E$46,($C$23-$E$46)*$G$46,0)</f>
        <v>0</v>
      </c>
      <c r="I120" s="3" t="n">
        <f aca="false">IF($C$24&gt;$F$46,($C$24-$F$46)*$H$46,0)</f>
        <v>9.3</v>
      </c>
      <c r="J120" s="3" t="n">
        <f aca="false">$C$25*$I$46</f>
        <v>0.0207</v>
      </c>
      <c r="K120" s="3" t="n">
        <f aca="false">IF($E$46&gt;$C$23,($E$46-$C$23)*$C$8,0)</f>
        <v>14.1661</v>
      </c>
      <c r="L120" s="3" t="n">
        <f aca="false">IF($F$46&gt;$C$24,($F$46-$C$24)*$C$9,0)</f>
        <v>0</v>
      </c>
      <c r="M120" s="231" t="n">
        <v>0</v>
      </c>
      <c r="N120" s="232" t="n">
        <f aca="false">$C$2+($E$46*$C$8)+($F$46*$C$9)</f>
        <v>34.115</v>
      </c>
      <c r="O120" s="3" t="n">
        <f aca="false">$C$11*G120+$C$11*P120</f>
        <v>3.75</v>
      </c>
      <c r="P120" s="3" t="n">
        <f aca="false">IF($C$23&gt;$E$46,($C$23-$E$46)*$C$8,0)</f>
        <v>0</v>
      </c>
      <c r="Q120" s="3" t="n">
        <f aca="false">IF($C$24&gt;$F$46,($C$24-$F$46)*$C$9,0)</f>
        <v>3.72</v>
      </c>
      <c r="R120" s="3" t="n">
        <f aca="false">$C$25*($C$10*10000/1000000)</f>
        <v>0.00414</v>
      </c>
      <c r="S120" s="3" t="n">
        <v>0</v>
      </c>
      <c r="T120" s="3" t="n">
        <v>0</v>
      </c>
      <c r="U120" s="3" t="n">
        <v>0</v>
      </c>
      <c r="V120" s="235" t="n">
        <f aca="false">F120-N120</f>
        <v>-9.115</v>
      </c>
      <c r="W120" s="3" t="n">
        <f aca="false">H120-P120-O120</f>
        <v>-3.75</v>
      </c>
      <c r="X120" s="3" t="n">
        <f aca="false">I120-Q120</f>
        <v>5.58</v>
      </c>
      <c r="Y120" s="3" t="n">
        <f aca="false">J120-R120</f>
        <v>0.01656</v>
      </c>
      <c r="Z120" s="3" t="n">
        <f aca="false">K120-S120</f>
        <v>14.1661</v>
      </c>
      <c r="AA120" s="3" t="n">
        <f aca="false">L120-T120</f>
        <v>0</v>
      </c>
      <c r="AB120" s="3" t="n">
        <f aca="false">M120-U120</f>
        <v>0</v>
      </c>
      <c r="AC120" s="235" t="n">
        <f aca="false">$E120*F120</f>
        <v>6250</v>
      </c>
      <c r="AD120" s="3" t="n">
        <f aca="false">E120*H120</f>
        <v>0</v>
      </c>
      <c r="AE120" s="3" t="n">
        <f aca="false">E120*I120</f>
        <v>2325</v>
      </c>
      <c r="AF120" s="3" t="n">
        <f aca="false">E120*J120</f>
        <v>5.175</v>
      </c>
      <c r="AG120" s="3" t="n">
        <f aca="false">E120*K120</f>
        <v>3541.525</v>
      </c>
      <c r="AH120" s="3" t="n">
        <f aca="false">E120*L120</f>
        <v>0</v>
      </c>
      <c r="AI120" s="231" t="n">
        <f aca="false">E120*M120</f>
        <v>0</v>
      </c>
      <c r="AJ120" s="232" t="n">
        <f aca="false">$E120*N120</f>
        <v>8528.75</v>
      </c>
      <c r="AK120" s="3" t="n">
        <f aca="false">E120*O120</f>
        <v>937.5</v>
      </c>
      <c r="AL120" s="3" t="n">
        <f aca="false">E120*P120</f>
        <v>0</v>
      </c>
      <c r="AM120" s="3" t="n">
        <f aca="false">E120*Q120</f>
        <v>930</v>
      </c>
      <c r="AN120" s="3" t="n">
        <f aca="false">E120*R120</f>
        <v>1.035</v>
      </c>
      <c r="AO120" s="3" t="n">
        <f aca="false">E120*Z120</f>
        <v>3541.525</v>
      </c>
      <c r="AP120" s="3" t="n">
        <f aca="false">E120*T120</f>
        <v>0</v>
      </c>
      <c r="AQ120" s="231" t="n">
        <f aca="false">E120*U120</f>
        <v>0</v>
      </c>
      <c r="AR120" s="3" t="n">
        <f aca="false">AC120-AJ120</f>
        <v>-2278.75</v>
      </c>
      <c r="AS120" s="3" t="n">
        <f aca="false">AD120-AK120-AL120</f>
        <v>-937.5</v>
      </c>
      <c r="AT120" s="3" t="n">
        <f aca="false">AE120-AM120</f>
        <v>1395</v>
      </c>
      <c r="AU120" s="3" t="n">
        <f aca="false">AF120-AN120</f>
        <v>4.14</v>
      </c>
      <c r="AV120" s="3" t="n">
        <f aca="false">AG120-AO120</f>
        <v>0</v>
      </c>
      <c r="AW120" s="3" t="n">
        <f aca="false">AH120-AP120</f>
        <v>0</v>
      </c>
      <c r="AX120" s="238" t="n">
        <f aca="false">AI120-AQ120</f>
        <v>0</v>
      </c>
      <c r="AY120" s="5" t="n">
        <f aca="false">E120*$C$23</f>
        <v>57250</v>
      </c>
      <c r="AZ120" s="5" t="n">
        <f aca="false">E120*$C$24</f>
        <v>23250</v>
      </c>
      <c r="BA120" s="230" t="n">
        <f aca="false">E120*$C$25</f>
        <v>51.75</v>
      </c>
      <c r="BB120" s="24" t="n">
        <f aca="false">$K$46*AR120</f>
        <v>-2278.75</v>
      </c>
      <c r="BC120" s="35" t="n">
        <f aca="false">$L$46*AR120</f>
        <v>-0</v>
      </c>
      <c r="BD120" s="2"/>
      <c r="BE120" s="2"/>
      <c r="BF120" s="2"/>
      <c r="BG120" s="2"/>
      <c r="BH120" s="2"/>
      <c r="BI120" s="2"/>
      <c r="BJ120" s="2"/>
      <c r="BK120" s="2"/>
      <c r="BL120" s="2"/>
      <c r="BM120" s="2"/>
    </row>
    <row r="121" customFormat="false" ht="12.75" hidden="false" customHeight="true" outlineLevel="0" collapsed="false">
      <c r="A121" s="27"/>
      <c r="B121" s="56"/>
      <c r="C121" s="25" t="str">
        <f aca="false">$C$47</f>
        <v>Program 6</v>
      </c>
      <c r="D121" s="192" t="n">
        <f aca="false">D112</f>
        <v>0.01</v>
      </c>
      <c r="E121" s="230" t="n">
        <f aca="false">D121*$D$30</f>
        <v>150</v>
      </c>
      <c r="F121" s="3" t="n">
        <v>25</v>
      </c>
      <c r="G121" s="3" t="n">
        <f aca="false">$K$46*F121</f>
        <v>25</v>
      </c>
      <c r="H121" s="3" t="n">
        <f aca="false">IF($C$23&gt;$E$46,($C$23-$E$46)*$G$46,0)</f>
        <v>0</v>
      </c>
      <c r="I121" s="3" t="n">
        <f aca="false">IF($C$24&gt;$F$46,($C$24-$F$46)*$H$46,0)</f>
        <v>9.3</v>
      </c>
      <c r="J121" s="3" t="n">
        <f aca="false">$C$25*$I$46</f>
        <v>0.0207</v>
      </c>
      <c r="K121" s="3" t="n">
        <f aca="false">IF($E$46&gt;$C$23,($E$46-$C$23)*$C$8,0)</f>
        <v>14.1661</v>
      </c>
      <c r="L121" s="3" t="n">
        <f aca="false">IF($F$46&gt;$C$24,($F$46-$C$24)*$C$9,0)</f>
        <v>0</v>
      </c>
      <c r="M121" s="231" t="n">
        <v>0</v>
      </c>
      <c r="N121" s="232" t="n">
        <f aca="false">$C$2+($E$46*$C$8)+($F$46*$C$9)</f>
        <v>34.115</v>
      </c>
      <c r="O121" s="3" t="n">
        <f aca="false">$C$11*G121+$C$11*P121</f>
        <v>3.75</v>
      </c>
      <c r="P121" s="3" t="n">
        <f aca="false">IF($C$23&gt;$E$46,($C$23-$E$46)*$C$8,0)</f>
        <v>0</v>
      </c>
      <c r="Q121" s="3" t="n">
        <f aca="false">IF($C$24&gt;$F$46,($C$24-$F$46)*$C$9,0)</f>
        <v>3.72</v>
      </c>
      <c r="R121" s="3" t="n">
        <f aca="false">$C$25*($C$10*10000/1000000)</f>
        <v>0.00414</v>
      </c>
      <c r="S121" s="3" t="n">
        <v>0</v>
      </c>
      <c r="T121" s="3" t="n">
        <v>0</v>
      </c>
      <c r="U121" s="3" t="n">
        <v>0</v>
      </c>
      <c r="V121" s="235" t="n">
        <f aca="false">F121-N121</f>
        <v>-9.115</v>
      </c>
      <c r="W121" s="3" t="n">
        <f aca="false">H121-P121-O121</f>
        <v>-3.75</v>
      </c>
      <c r="X121" s="3" t="n">
        <f aca="false">I121-Q121</f>
        <v>5.58</v>
      </c>
      <c r="Y121" s="3" t="n">
        <f aca="false">J121-R121</f>
        <v>0.01656</v>
      </c>
      <c r="Z121" s="3" t="n">
        <f aca="false">K121-S121</f>
        <v>14.1661</v>
      </c>
      <c r="AA121" s="3" t="n">
        <f aca="false">L121-T121</f>
        <v>0</v>
      </c>
      <c r="AB121" s="3" t="n">
        <f aca="false">M121-U121</f>
        <v>0</v>
      </c>
      <c r="AC121" s="235" t="n">
        <f aca="false">$E121*F121</f>
        <v>3750</v>
      </c>
      <c r="AD121" s="3" t="n">
        <f aca="false">E121*H121</f>
        <v>0</v>
      </c>
      <c r="AE121" s="3" t="n">
        <f aca="false">E121*I121</f>
        <v>1395</v>
      </c>
      <c r="AF121" s="3" t="n">
        <f aca="false">E121*J121</f>
        <v>3.105</v>
      </c>
      <c r="AG121" s="3" t="n">
        <f aca="false">E121*K121</f>
        <v>2124.915</v>
      </c>
      <c r="AH121" s="3" t="n">
        <f aca="false">E121*L121</f>
        <v>0</v>
      </c>
      <c r="AI121" s="3" t="n">
        <f aca="false">E121*M121</f>
        <v>0</v>
      </c>
      <c r="AJ121" s="232" t="n">
        <f aca="false">$E121*N121</f>
        <v>5117.25</v>
      </c>
      <c r="AK121" s="3" t="n">
        <f aca="false">E121*O121</f>
        <v>562.5</v>
      </c>
      <c r="AL121" s="3" t="n">
        <f aca="false">E121*P121</f>
        <v>0</v>
      </c>
      <c r="AM121" s="3" t="n">
        <f aca="false">E121*Q121</f>
        <v>558</v>
      </c>
      <c r="AN121" s="3" t="n">
        <f aca="false">E121*R121</f>
        <v>0.621</v>
      </c>
      <c r="AO121" s="3" t="n">
        <f aca="false">E121*Z121</f>
        <v>2124.915</v>
      </c>
      <c r="AP121" s="3" t="n">
        <f aca="false">E121*T121</f>
        <v>0</v>
      </c>
      <c r="AQ121" s="231" t="n">
        <f aca="false">E121*U121</f>
        <v>0</v>
      </c>
      <c r="AR121" s="3" t="n">
        <f aca="false">AC121-AJ121</f>
        <v>-1367.25</v>
      </c>
      <c r="AS121" s="3" t="n">
        <f aca="false">AD121-AK121-AL121</f>
        <v>-562.5</v>
      </c>
      <c r="AT121" s="3" t="n">
        <f aca="false">AE121-AM121</f>
        <v>837</v>
      </c>
      <c r="AU121" s="3" t="n">
        <f aca="false">AF121-AN121</f>
        <v>2.484</v>
      </c>
      <c r="AV121" s="3" t="n">
        <f aca="false">AG121-AO121</f>
        <v>0</v>
      </c>
      <c r="AW121" s="3" t="n">
        <f aca="false">AH121-AP121</f>
        <v>0</v>
      </c>
      <c r="AX121" s="238" t="n">
        <f aca="false">AI121-AQ121</f>
        <v>0</v>
      </c>
      <c r="AY121" s="5" t="n">
        <f aca="false">E121*$C$23</f>
        <v>34350</v>
      </c>
      <c r="AZ121" s="5" t="n">
        <f aca="false">E121*$C$24</f>
        <v>13950</v>
      </c>
      <c r="BA121" s="230" t="n">
        <f aca="false">E121*$C$25</f>
        <v>31.05</v>
      </c>
      <c r="BB121" s="24" t="n">
        <f aca="false">$K$46*AR121</f>
        <v>-1367.25</v>
      </c>
      <c r="BC121" s="35" t="n">
        <f aca="false">$L$46*AR121</f>
        <v>-0</v>
      </c>
      <c r="BD121" s="2"/>
      <c r="BE121" s="2"/>
      <c r="BF121" s="2"/>
      <c r="BG121" s="2"/>
      <c r="BH121" s="2"/>
      <c r="BI121" s="2"/>
      <c r="BJ121" s="2"/>
      <c r="BK121" s="2"/>
      <c r="BL121" s="2"/>
      <c r="BM121" s="2"/>
    </row>
    <row r="122" customFormat="false" ht="12.75" hidden="false" customHeight="true" outlineLevel="0" collapsed="false">
      <c r="A122" s="2"/>
      <c r="B122" s="30"/>
      <c r="C122" s="32" t="n">
        <f aca="false">$C$48</f>
        <v>0</v>
      </c>
      <c r="D122" s="287" t="n">
        <f aca="false">D113</f>
        <v>0</v>
      </c>
      <c r="E122" s="283" t="n">
        <f aca="false">D122*$D$37</f>
        <v>0</v>
      </c>
      <c r="F122" s="284" t="n">
        <v>35</v>
      </c>
      <c r="G122" s="3" t="n">
        <f aca="false">$K$48*F122</f>
        <v>35</v>
      </c>
      <c r="H122" s="244" t="n">
        <f aca="false">IF($C$23&gt;$E$48,($C$23-$E$48)*$G$48,0)</f>
        <v>0</v>
      </c>
      <c r="I122" s="244" t="n">
        <f aca="false">IF($C$24&gt;$F$48,($C$24-$F$48)*$H$48,0)</f>
        <v>0</v>
      </c>
      <c r="J122" s="244" t="n">
        <f aca="false">$C$25*$I$48</f>
        <v>0</v>
      </c>
      <c r="K122" s="244" t="n">
        <f aca="false">IF($E$48&gt;$C$23,($E$48-$C$23)*$C$8,0)</f>
        <v>0</v>
      </c>
      <c r="L122" s="244" t="n">
        <f aca="false">IF($F$48&gt;$C$24,($F$48-$C$24)*$C$9,0)</f>
        <v>0</v>
      </c>
      <c r="M122" s="246" t="n">
        <v>0</v>
      </c>
      <c r="N122" s="232" t="n">
        <f aca="false">$C$2+($E$48*$C$8)+($F$48*$C$9)</f>
        <v>5.27</v>
      </c>
      <c r="O122" s="3" t="n">
        <f aca="false">$C$11*G122+$C$11*P122</f>
        <v>7.451835</v>
      </c>
      <c r="P122" s="244" t="n">
        <f aca="false">IF($C$23&gt;$E$48,($C$23-$E$48)*$C$8,0)</f>
        <v>14.6789</v>
      </c>
      <c r="Q122" s="244" t="n">
        <f aca="false">IF($C$24&gt;$F$48,($C$24-$F$48)*$C$9,0)</f>
        <v>3.72</v>
      </c>
      <c r="R122" s="244" t="n">
        <f aca="false">$C$25*($C$10*10000/1000000)</f>
        <v>0.00414</v>
      </c>
      <c r="S122" s="244" t="n">
        <v>0</v>
      </c>
      <c r="T122" s="244" t="n">
        <v>0</v>
      </c>
      <c r="U122" s="244" t="n">
        <v>0</v>
      </c>
      <c r="V122" s="284" t="n">
        <f aca="false">F122-N122</f>
        <v>29.73</v>
      </c>
      <c r="W122" s="244" t="n">
        <f aca="false">H122-P122-O122</f>
        <v>-22.130735</v>
      </c>
      <c r="X122" s="244" t="n">
        <f aca="false">I122-Q122</f>
        <v>-3.72</v>
      </c>
      <c r="Y122" s="244" t="n">
        <f aca="false">J122-R122</f>
        <v>-0.00414</v>
      </c>
      <c r="Z122" s="244" t="n">
        <f aca="false">K122-S122</f>
        <v>0</v>
      </c>
      <c r="AA122" s="244" t="n">
        <f aca="false">L122-T122</f>
        <v>0</v>
      </c>
      <c r="AB122" s="244" t="n">
        <f aca="false">M122-U122</f>
        <v>0</v>
      </c>
      <c r="AC122" s="284" t="n">
        <f aca="false">$E122*F122</f>
        <v>0</v>
      </c>
      <c r="AD122" s="244" t="n">
        <f aca="false">E122*H122</f>
        <v>0</v>
      </c>
      <c r="AE122" s="244" t="n">
        <f aca="false">E122*I122</f>
        <v>0</v>
      </c>
      <c r="AF122" s="244" t="n">
        <f aca="false">E122*J122</f>
        <v>0</v>
      </c>
      <c r="AG122" s="244" t="n">
        <f aca="false">E122*K122</f>
        <v>0</v>
      </c>
      <c r="AH122" s="244" t="n">
        <f aca="false">E122*L122</f>
        <v>0</v>
      </c>
      <c r="AI122" s="246" t="n">
        <f aca="false">E122*M122</f>
        <v>0</v>
      </c>
      <c r="AJ122" s="245" t="n">
        <f aca="false">$E122*N122</f>
        <v>0</v>
      </c>
      <c r="AK122" s="244" t="n">
        <f aca="false">E122*O122</f>
        <v>0</v>
      </c>
      <c r="AL122" s="244" t="n">
        <f aca="false">E122*P122</f>
        <v>0</v>
      </c>
      <c r="AM122" s="244" t="n">
        <f aca="false">E122*Q122</f>
        <v>0</v>
      </c>
      <c r="AN122" s="244" t="n">
        <f aca="false">E122*R122</f>
        <v>0</v>
      </c>
      <c r="AO122" s="244" t="n">
        <f aca="false">E122*Z122</f>
        <v>0</v>
      </c>
      <c r="AP122" s="244" t="n">
        <f aca="false">E122*T122</f>
        <v>0</v>
      </c>
      <c r="AQ122" s="246" t="n">
        <f aca="false">E122*U122</f>
        <v>0</v>
      </c>
      <c r="AR122" s="3" t="n">
        <f aca="false">AC122-AJ122</f>
        <v>0</v>
      </c>
      <c r="AS122" s="3" t="n">
        <f aca="false">AD122-AK122-AL122</f>
        <v>0</v>
      </c>
      <c r="AT122" s="3" t="n">
        <f aca="false">AE122-AM122</f>
        <v>0</v>
      </c>
      <c r="AU122" s="3" t="n">
        <f aca="false">AF122-AN122</f>
        <v>0</v>
      </c>
      <c r="AV122" s="3" t="n">
        <f aca="false">AG122-AO122</f>
        <v>0</v>
      </c>
      <c r="AW122" s="3" t="n">
        <f aca="false">AH122-AP122</f>
        <v>0</v>
      </c>
      <c r="AX122" s="238" t="n">
        <f aca="false">AI122-AQ122</f>
        <v>0</v>
      </c>
      <c r="AY122" s="72" t="n">
        <f aca="false">E122*$C$23</f>
        <v>0</v>
      </c>
      <c r="AZ122" s="72" t="n">
        <f aca="false">E122*$C$24</f>
        <v>0</v>
      </c>
      <c r="BA122" s="283" t="n">
        <f aca="false">E122*$C$25</f>
        <v>0</v>
      </c>
      <c r="BB122" s="24" t="n">
        <f aca="false">$K$48*AR122</f>
        <v>0</v>
      </c>
      <c r="BC122" s="35" t="n">
        <f aca="false">$L$48*AR122</f>
        <v>0</v>
      </c>
      <c r="BD122" s="2"/>
      <c r="BE122" s="2"/>
      <c r="BF122" s="2"/>
      <c r="BG122" s="2"/>
      <c r="BH122" s="2"/>
      <c r="BI122" s="2"/>
      <c r="BJ122" s="2"/>
      <c r="BK122" s="2"/>
      <c r="BL122" s="2"/>
      <c r="BM122" s="2"/>
    </row>
    <row r="123" customFormat="false" ht="12.75" hidden="false" customHeight="true" outlineLevel="0" collapsed="false">
      <c r="A123" s="2"/>
      <c r="B123" s="247"/>
      <c r="C123" s="248" t="s">
        <v>171</v>
      </c>
      <c r="D123" s="249"/>
      <c r="E123" s="250"/>
      <c r="F123" s="251" t="n">
        <f aca="false">(($E116*F116)+($E117*F117)+($E118*F118)+($E119*F119)+($E120*F120)+($E122*F122))/($E124)</f>
        <v>3.69607843137255</v>
      </c>
      <c r="G123" s="251" t="n">
        <f aca="false">(($E116*G116)+($E117*G117)+($E118*G118)+($E119*G119)+($E120*G120)+($E122*G122))/($E124)</f>
        <v>3.69607843137255</v>
      </c>
      <c r="H123" s="251" t="n">
        <f aca="false">(($E116*H116)+($E117*H117)+($E118*H118)+($E119*H119)+($E120*H120)+($E122*H122))/($E124)</f>
        <v>27.366568627451</v>
      </c>
      <c r="I123" s="251" t="n">
        <f aca="false">(($E116*I116)+($E117*I117)+($E118*I118)+($E119*I119)+($E120*I120)+($E122*I122))/($E124)</f>
        <v>10.1205882352941</v>
      </c>
      <c r="J123" s="251" t="n">
        <f aca="false">(($E116*J116)+($E117*J117)+($E118*J118)+($E119*J119)+($E120*J120)+($E122*J122))/($E124)</f>
        <v>0.0200911764705882</v>
      </c>
      <c r="K123" s="251" t="n">
        <f aca="false">(($E116*K116)+($E117*K117)+($E118*K118)+($E119*K119)+($E120*K120)+($E122*K122))/($E124)</f>
        <v>0.694416666666667</v>
      </c>
      <c r="L123" s="251" t="n">
        <f aca="false">(($E116*L116)+($E117*L117)+($E118*L118)+($E119*L119)+($E120*L120)+($E122*L122))/($E124)</f>
        <v>0</v>
      </c>
      <c r="M123" s="251" t="n">
        <f aca="false">(($E116*M116)+($E117*M117)+($E118*M118)+($E119*M119)+($E120*M120)+($E122*M122))/($E124)</f>
        <v>2.11372549019608</v>
      </c>
      <c r="N123" s="252" t="n">
        <f aca="false">(($E116*N116)+($E117*N117)+($E118*N118)+($E119*N119)+($E120*N120)+($E122*N122))/($E124)</f>
        <v>8.58708333333333</v>
      </c>
      <c r="O123" s="251" t="n">
        <f aca="false">(($E116*O116)+($E117*O117)+($E118*O118)+($E119*O119)+($E120*O120)+($E122*O122))/($E124)</f>
        <v>2.27483691176471</v>
      </c>
      <c r="P123" s="251" t="n">
        <f aca="false">(($E116*P116)+($E117*P117)+($E118*P118)+($E119*P119)+($E120*P120)+($E122*P122))/($E124)</f>
        <v>11.4695009803922</v>
      </c>
      <c r="Q123" s="251" t="n">
        <f aca="false">(($E116*Q116)+($E117*Q117)+($E118*Q118)+($E119*Q119)+($E120*Q120)+($E122*Q122))/($E124)</f>
        <v>3.61058823529412</v>
      </c>
      <c r="R123" s="251" t="n">
        <f aca="false">(($E116*R116)+($E117*R117)+($E118*R118)+($E119*R119)+($E120*R120)+($E122*R122))/($E124)</f>
        <v>0.00401823529411765</v>
      </c>
      <c r="S123" s="251" t="n">
        <f aca="false">(($E116*S116)+($E117*S117)+($E118*S118)+($E119*S119)+($E120*S120)+($E122*S122))/($E124)</f>
        <v>0</v>
      </c>
      <c r="T123" s="251" t="n">
        <f aca="false">(($E116*T116)+($E117*T117)+($E118*T118)+($E119*T119)+($E120*T120)+($E122*T122))/($E124)</f>
        <v>0</v>
      </c>
      <c r="U123" s="251" t="n">
        <f aca="false">(($E116*U116)+($E117*U117)+($E118*U118)+($E119*U119)+($E120*U120)+($E122*U122))/($E124)</f>
        <v>0</v>
      </c>
      <c r="V123" s="253" t="n">
        <f aca="false">(($E116*V116)+($E117*V117)+($E118*V118)+($E119*V119)+($E120*V120)+($E122*V122))/($E124)</f>
        <v>-4.89100490196078</v>
      </c>
      <c r="W123" s="251" t="n">
        <f aca="false">(($E116*W116)+($E117*W117)+($E118*W118)+($E119*W119)+($E120*W120)+($E122*W122))/($E124)</f>
        <v>13.6222307352941</v>
      </c>
      <c r="X123" s="251" t="n">
        <f aca="false">(($E116*X116)+($E117*X117)+($E118*X118)+($E119*X119)+($E120*X120)+($E122*X122))/($E124)</f>
        <v>6.51</v>
      </c>
      <c r="Y123" s="251" t="n">
        <f aca="false">(($E116*Y116)+($E117*Y117)+($E118*Y118)+($E119*Y119)+($E120*Y120)+($E122*Y122))/($E124)</f>
        <v>0.0160729411764706</v>
      </c>
      <c r="Z123" s="251" t="n">
        <f aca="false">(($E116*Z116)+($E117*Z117)+($E118*Z118)+($E119*Z119)+($E120*Z120)+($E122*Z122))/($E124)</f>
        <v>0.694416666666667</v>
      </c>
      <c r="AA123" s="251" t="n">
        <f aca="false">(($E116*AA116)+($E117*AA117)+($E118*AA118)+($E119*AA119)+($E120*AA120)+($E122*AA122))/($E124)</f>
        <v>0</v>
      </c>
      <c r="AB123" s="251" t="n">
        <f aca="false">(($E116*AB116)+($E117*AB117)+($E118*AB118)+($E119*AB119)+($E120*AB120)+($E122*AB122))/($E124)</f>
        <v>2.11372549019608</v>
      </c>
      <c r="AC123" s="253" t="n">
        <f aca="false">SUM(AC116:AC122)/$E124</f>
        <v>4.43137254901961</v>
      </c>
      <c r="AD123" s="251" t="n">
        <f aca="false">SUM(AD116:AD122)/$E124</f>
        <v>27.366568627451</v>
      </c>
      <c r="AE123" s="251" t="n">
        <f aca="false">SUM(AE116:AE122)/$E124</f>
        <v>10.3941176470588</v>
      </c>
      <c r="AF123" s="251" t="n">
        <f aca="false">SUM(AF116:AF122)/$E124</f>
        <v>0.0207</v>
      </c>
      <c r="AG123" s="251" t="n">
        <f aca="false">SUM(AG116:AG122)/$E124</f>
        <v>1.11106666666667</v>
      </c>
      <c r="AH123" s="251" t="n">
        <f aca="false">SUM(AH116:AH122)/$E124</f>
        <v>0</v>
      </c>
      <c r="AI123" s="251" t="n">
        <f aca="false">SUM(AI116:AI122)/$E124</f>
        <v>2.11372549019608</v>
      </c>
      <c r="AJ123" s="252" t="n">
        <f aca="false">SUM(AJ116:AJ122)/$E124</f>
        <v>9.59046568627451</v>
      </c>
      <c r="AK123" s="251" t="n">
        <f aca="false">SUM(AK116:AK122)/$E124</f>
        <v>2.38513102941176</v>
      </c>
      <c r="AL123" s="251" t="n">
        <f aca="false">SUM(AL116:AL122)/$E124</f>
        <v>11.4695009803922</v>
      </c>
      <c r="AM123" s="251" t="n">
        <f aca="false">SUM(AM116:AM122)/$E124</f>
        <v>3.72</v>
      </c>
      <c r="AN123" s="251" t="n">
        <f aca="false">SUM(AN116:AN122)/$E124</f>
        <v>0.00414</v>
      </c>
      <c r="AO123" s="251" t="n">
        <f aca="false">SUM(AO116:AO122)/$E124</f>
        <v>1.11106666666667</v>
      </c>
      <c r="AP123" s="251" t="n">
        <f aca="false">SUM(AP116:AP122)/$E124</f>
        <v>0</v>
      </c>
      <c r="AQ123" s="251" t="n">
        <f aca="false">SUM(AQ116:AQ122)/$E124</f>
        <v>0</v>
      </c>
      <c r="AR123" s="252" t="n">
        <f aca="false">SUM(AR116:AR122)/$E124</f>
        <v>-5.1590931372549</v>
      </c>
      <c r="AS123" s="251" t="n">
        <f aca="false">SUM(AS116:AS122)/$E124</f>
        <v>13.5119366176471</v>
      </c>
      <c r="AT123" s="251" t="n">
        <f aca="false">SUM(AT116:AT122)/$E124</f>
        <v>6.67411764705882</v>
      </c>
      <c r="AU123" s="251" t="n">
        <f aca="false">SUM(AU116:AU122)/$E124</f>
        <v>0.01656</v>
      </c>
      <c r="AV123" s="251" t="n">
        <f aca="false">SUM(AV116:AV122)/$E124</f>
        <v>0</v>
      </c>
      <c r="AW123" s="251" t="n">
        <f aca="false">SUM(AW116:AW122)/$E124</f>
        <v>0</v>
      </c>
      <c r="AX123" s="251" t="n">
        <f aca="false">SUM(AX116:AX122)/$E124</f>
        <v>2.11372549019608</v>
      </c>
      <c r="AY123" s="254" t="n">
        <f aca="false">SUM(AY116:AY122)/$E124</f>
        <v>229</v>
      </c>
      <c r="AZ123" s="255" t="n">
        <f aca="false">SUM(AZ116:AZ122)/$E124</f>
        <v>93</v>
      </c>
      <c r="BA123" s="256" t="n">
        <f aca="false">SUM(BA116:BA122)/$E124</f>
        <v>0.207</v>
      </c>
      <c r="BB123" s="253" t="n">
        <f aca="false">SUM(BB116:BB122)/$E124</f>
        <v>-1.69742647058824</v>
      </c>
      <c r="BC123" s="257" t="n">
        <f aca="false">SUM(BC116:BC122)/$E124</f>
        <v>0</v>
      </c>
      <c r="BD123" s="2"/>
      <c r="BE123" s="2"/>
      <c r="BF123" s="2"/>
      <c r="BG123" s="2"/>
      <c r="BH123" s="2"/>
      <c r="BI123" s="2"/>
      <c r="BJ123" s="2"/>
      <c r="BK123" s="2"/>
      <c r="BL123" s="2"/>
      <c r="BM123" s="2"/>
    </row>
    <row r="124" customFormat="false" ht="12.75" hidden="false" customHeight="true" outlineLevel="0" collapsed="false">
      <c r="A124" s="2"/>
      <c r="B124" s="258"/>
      <c r="C124" s="285" t="s">
        <v>73</v>
      </c>
      <c r="D124" s="260" t="n">
        <f aca="false">SUM(D116:D122)</f>
        <v>1</v>
      </c>
      <c r="E124" s="261" t="n">
        <f aca="false">SUM(E116:E122)</f>
        <v>5100</v>
      </c>
      <c r="F124" s="262"/>
      <c r="G124" s="262"/>
      <c r="H124" s="262"/>
      <c r="I124" s="262"/>
      <c r="J124" s="262"/>
      <c r="K124" s="262"/>
      <c r="L124" s="262"/>
      <c r="M124" s="263"/>
      <c r="N124" s="264"/>
      <c r="O124" s="262"/>
      <c r="P124" s="262"/>
      <c r="Q124" s="262"/>
      <c r="R124" s="262"/>
      <c r="S124" s="262"/>
      <c r="T124" s="262"/>
      <c r="U124" s="262"/>
      <c r="V124" s="265"/>
      <c r="W124" s="262"/>
      <c r="X124" s="262"/>
      <c r="Y124" s="262"/>
      <c r="Z124" s="262"/>
      <c r="AA124" s="262"/>
      <c r="AB124" s="262"/>
      <c r="AC124" s="265" t="n">
        <f aca="false">SUM(AC116:AC122)</f>
        <v>22600</v>
      </c>
      <c r="AD124" s="262" t="n">
        <f aca="false">SUM(AD116:AD122)</f>
        <v>139569.5</v>
      </c>
      <c r="AE124" s="262" t="n">
        <f aca="false">SUM(AE116:AE122)</f>
        <v>53010</v>
      </c>
      <c r="AF124" s="262" t="n">
        <f aca="false">SUM(AF116:AF122)</f>
        <v>105.57</v>
      </c>
      <c r="AG124" s="262" t="n">
        <f aca="false">SUM(AG116:AG122)</f>
        <v>5666.44</v>
      </c>
      <c r="AH124" s="262" t="n">
        <f aca="false">SUM(AH116:AH122)</f>
        <v>0</v>
      </c>
      <c r="AI124" s="262" t="n">
        <f aca="false">SUM(AI116:AI122)</f>
        <v>10780</v>
      </c>
      <c r="AJ124" s="264" t="n">
        <f aca="false">SUM(AJ116:AJ122)</f>
        <v>48911.375</v>
      </c>
      <c r="AK124" s="262" t="n">
        <f aca="false">SUM(AK116:AK122)</f>
        <v>12164.16825</v>
      </c>
      <c r="AL124" s="262" t="n">
        <f aca="false">SUM(AL116:AL122)</f>
        <v>58494.455</v>
      </c>
      <c r="AM124" s="262" t="n">
        <f aca="false">SUM(AM116:AM122)</f>
        <v>18972</v>
      </c>
      <c r="AN124" s="262" t="n">
        <f aca="false">SUM(AN116:AN122)</f>
        <v>21.114</v>
      </c>
      <c r="AO124" s="262" t="n">
        <f aca="false">SUM(AO116:AO122)</f>
        <v>5666.44</v>
      </c>
      <c r="AP124" s="262" t="n">
        <f aca="false">SUM(AP116:AP122)</f>
        <v>0</v>
      </c>
      <c r="AQ124" s="263" t="n">
        <f aca="false">SUM(AQ116:AQ122)</f>
        <v>0</v>
      </c>
      <c r="AR124" s="264" t="n">
        <f aca="false">SUM(AR116:AR122)</f>
        <v>-26311.375</v>
      </c>
      <c r="AS124" s="262" t="n">
        <f aca="false">SUM(AS116:AS122)</f>
        <v>68910.87675</v>
      </c>
      <c r="AT124" s="262" t="n">
        <f aca="false">SUM(AT116:AT122)</f>
        <v>34038</v>
      </c>
      <c r="AU124" s="262" t="n">
        <f aca="false">SUM(AU116:AU122)</f>
        <v>84.456</v>
      </c>
      <c r="AV124" s="262" t="n">
        <f aca="false">SUM(AV116:AV122)</f>
        <v>0</v>
      </c>
      <c r="AW124" s="262" t="n">
        <f aca="false">SUM(AW116:AW122)</f>
        <v>0</v>
      </c>
      <c r="AX124" s="270" t="n">
        <f aca="false">SUM(AX116:AX122)</f>
        <v>10780</v>
      </c>
      <c r="AY124" s="271" t="n">
        <f aca="false">SUM(AY116:AY122)</f>
        <v>1167900</v>
      </c>
      <c r="AZ124" s="272" t="n">
        <f aca="false">SUM(AZ116:AZ122)</f>
        <v>474300</v>
      </c>
      <c r="BA124" s="261" t="n">
        <f aca="false">SUM(BA116:BA122)</f>
        <v>1055.7</v>
      </c>
      <c r="BB124" s="273" t="n">
        <f aca="false">SUM(BB116:BB122)</f>
        <v>-8656.875</v>
      </c>
      <c r="BC124" s="274" t="n">
        <f aca="false">SUM(BC116:BC122)</f>
        <v>0</v>
      </c>
      <c r="BD124" s="2"/>
      <c r="BE124" s="2"/>
      <c r="BF124" s="2"/>
      <c r="BG124" s="2"/>
      <c r="BH124" s="2"/>
      <c r="BI124" s="2"/>
      <c r="BJ124" s="2"/>
      <c r="BK124" s="2"/>
      <c r="BL124" s="2"/>
      <c r="BM124" s="2"/>
    </row>
    <row r="125" customFormat="false" ht="12.75" hidden="false" customHeight="true" outlineLevel="0" collapsed="false">
      <c r="A125" s="2"/>
      <c r="B125" s="138" t="str">
        <f aca="false">B38</f>
        <v>Brand 9</v>
      </c>
      <c r="C125" s="275" t="str">
        <f aca="false">$C$42</f>
        <v>Program 1</v>
      </c>
      <c r="D125" s="286" t="n">
        <f aca="false">D116</f>
        <v>0.27</v>
      </c>
      <c r="E125" s="230" t="n">
        <f aca="false">D125*$D$38</f>
        <v>1350</v>
      </c>
      <c r="F125" s="278" t="n">
        <v>0</v>
      </c>
      <c r="G125" s="3" t="n">
        <f aca="false">$K$42*F125</f>
        <v>0</v>
      </c>
      <c r="H125" s="3" t="n">
        <f aca="false">IF($C$23&gt;$E$42,($C$23-$E$42)*$G$42,0)</f>
        <v>29.77</v>
      </c>
      <c r="I125" s="3" t="n">
        <f aca="false">IF($C$24&gt;$F$42,($C$24-$F$42)*$H$42,0)</f>
        <v>9.3</v>
      </c>
      <c r="J125" s="3" t="n">
        <f aca="false">$C$25*$I$42</f>
        <v>0.0207</v>
      </c>
      <c r="K125" s="3" t="n">
        <f aca="false">IF($E$42&gt;$C$23,($E$42-$C$23)*$C$8,0)</f>
        <v>0</v>
      </c>
      <c r="L125" s="3" t="n">
        <f aca="false">IF($F$42&gt;$C$24,($F$42-$C$24)*$C$9,0)</f>
        <v>0</v>
      </c>
      <c r="M125" s="231" t="n">
        <v>0</v>
      </c>
      <c r="N125" s="232" t="n">
        <f aca="false">$C$2+($E$42*$C$8)+($F$42*$C$9)</f>
        <v>5.27</v>
      </c>
      <c r="O125" s="3" t="n">
        <f aca="false">$C$11*G125+$C$11*P125</f>
        <v>2.201835</v>
      </c>
      <c r="P125" s="3" t="n">
        <f aca="false">IF($C$23&gt;$E$42,($C$23-$E$42)*$C$8,0)</f>
        <v>14.6789</v>
      </c>
      <c r="Q125" s="3" t="n">
        <f aca="false">IF($C$24&gt;$F$42,($C$24-$F$42)*$C$9,0)</f>
        <v>3.72</v>
      </c>
      <c r="R125" s="3" t="n">
        <f aca="false">$C$25*($C$10*10000/1000000)</f>
        <v>0.00414</v>
      </c>
      <c r="S125" s="277" t="n">
        <v>0</v>
      </c>
      <c r="T125" s="277" t="n">
        <v>0</v>
      </c>
      <c r="U125" s="277" t="n">
        <v>0</v>
      </c>
      <c r="V125" s="278" t="n">
        <f aca="false">F125-N125</f>
        <v>-5.27</v>
      </c>
      <c r="W125" s="277" t="n">
        <f aca="false">H125-P125-O125</f>
        <v>12.889265</v>
      </c>
      <c r="X125" s="277" t="n">
        <f aca="false">I125-Q125</f>
        <v>5.58</v>
      </c>
      <c r="Y125" s="277" t="n">
        <f aca="false">J125-R125</f>
        <v>0.01656</v>
      </c>
      <c r="Z125" s="277" t="n">
        <f aca="false">K125-S125</f>
        <v>0</v>
      </c>
      <c r="AA125" s="277" t="n">
        <f aca="false">L125-T125</f>
        <v>0</v>
      </c>
      <c r="AB125" s="277" t="n">
        <f aca="false">M125-U125</f>
        <v>0</v>
      </c>
      <c r="AC125" s="278" t="n">
        <f aca="false">$E125*F125</f>
        <v>0</v>
      </c>
      <c r="AD125" s="277" t="n">
        <f aca="false">E125*H125</f>
        <v>40189.5</v>
      </c>
      <c r="AE125" s="277" t="n">
        <f aca="false">E125*I125</f>
        <v>12555</v>
      </c>
      <c r="AF125" s="277" t="n">
        <f aca="false">E125*J125</f>
        <v>27.945</v>
      </c>
      <c r="AG125" s="277" t="n">
        <f aca="false">E125*K125</f>
        <v>0</v>
      </c>
      <c r="AH125" s="277" t="n">
        <f aca="false">E125*L125</f>
        <v>0</v>
      </c>
      <c r="AI125" s="279" t="n">
        <f aca="false">E125*M125</f>
        <v>0</v>
      </c>
      <c r="AJ125" s="280" t="n">
        <f aca="false">$E125*N125</f>
        <v>7114.5</v>
      </c>
      <c r="AK125" s="277" t="n">
        <f aca="false">E125*O125</f>
        <v>2972.47725</v>
      </c>
      <c r="AL125" s="277" t="n">
        <f aca="false">E125*P125</f>
        <v>19816.515</v>
      </c>
      <c r="AM125" s="277" t="n">
        <f aca="false">E125*Q125</f>
        <v>5022</v>
      </c>
      <c r="AN125" s="277" t="n">
        <f aca="false">E125*R125</f>
        <v>5.589</v>
      </c>
      <c r="AO125" s="277" t="n">
        <f aca="false">E125*Z125</f>
        <v>0</v>
      </c>
      <c r="AP125" s="277" t="n">
        <f aca="false">E125*T125</f>
        <v>0</v>
      </c>
      <c r="AQ125" s="279" t="n">
        <f aca="false">E125*U125</f>
        <v>0</v>
      </c>
      <c r="AR125" s="3" t="n">
        <f aca="false">AC125-AJ125</f>
        <v>-7114.5</v>
      </c>
      <c r="AS125" s="3" t="n">
        <f aca="false">AD125-AK125-AL125</f>
        <v>17400.50775</v>
      </c>
      <c r="AT125" s="3" t="n">
        <f aca="false">AE125-AM125</f>
        <v>7533</v>
      </c>
      <c r="AU125" s="3" t="n">
        <f aca="false">AF125-AN125</f>
        <v>22.356</v>
      </c>
      <c r="AV125" s="3" t="n">
        <f aca="false">AG125-AO125</f>
        <v>0</v>
      </c>
      <c r="AW125" s="3" t="n">
        <f aca="false">AH125-AP125</f>
        <v>0</v>
      </c>
      <c r="AX125" s="238" t="n">
        <f aca="false">AI125-AQ125</f>
        <v>0</v>
      </c>
      <c r="AY125" s="5" t="n">
        <f aca="false">E125*$C$23</f>
        <v>309150</v>
      </c>
      <c r="AZ125" s="5" t="n">
        <f aca="false">E125*$C$24</f>
        <v>125550</v>
      </c>
      <c r="BA125" s="230" t="n">
        <f aca="false">E125*$C$25</f>
        <v>279.45</v>
      </c>
      <c r="BB125" s="24" t="n">
        <f aca="false">$K$42*AR125</f>
        <v>-0</v>
      </c>
      <c r="BC125" s="35" t="n">
        <f aca="false">$L$42*AR125</f>
        <v>-0</v>
      </c>
      <c r="BD125" s="2"/>
      <c r="BE125" s="2"/>
      <c r="BF125" s="2"/>
      <c r="BG125" s="2"/>
      <c r="BH125" s="2"/>
      <c r="BI125" s="2"/>
      <c r="BJ125" s="2"/>
      <c r="BK125" s="2"/>
      <c r="BL125" s="2"/>
      <c r="BM125" s="2"/>
    </row>
    <row r="126" customFormat="false" ht="12.75" hidden="false" customHeight="true" outlineLevel="0" collapsed="false">
      <c r="A126" s="2"/>
      <c r="B126" s="56"/>
      <c r="C126" s="25" t="str">
        <f aca="false">$C$43</f>
        <v>Program 2</v>
      </c>
      <c r="D126" s="281" t="n">
        <f aca="false">D117</f>
        <v>0.4</v>
      </c>
      <c r="E126" s="230" t="n">
        <f aca="false">D126*$D$38</f>
        <v>2000</v>
      </c>
      <c r="F126" s="235" t="n">
        <v>0</v>
      </c>
      <c r="G126" s="3" t="n">
        <f aca="false">$K$43*F126</f>
        <v>0</v>
      </c>
      <c r="H126" s="3" t="n">
        <f aca="false">IF($C$23&gt;$E$43,($C$23-$E$43)*$G$43,0)</f>
        <v>38.93</v>
      </c>
      <c r="I126" s="3" t="n">
        <f aca="false">IF($C$24&gt;$F$43,($C$24-$F$43)*$H$43,0)</f>
        <v>12.09</v>
      </c>
      <c r="J126" s="3" t="n">
        <f aca="false">$C$25*$I$43</f>
        <v>0.0207</v>
      </c>
      <c r="K126" s="3" t="n">
        <f aca="false">IF($E$43&gt;$C$23,($E$43-$C$23)*$C$8,0)</f>
        <v>0</v>
      </c>
      <c r="L126" s="3" t="n">
        <f aca="false">IF($F$43&gt;$C$24,($F$43-$C$24)*$C$9,0)</f>
        <v>0</v>
      </c>
      <c r="M126" s="231" t="n">
        <v>4.2</v>
      </c>
      <c r="N126" s="232" t="n">
        <f aca="false">$C$2+($E$43*$C$8)+($F$43*$C$9)</f>
        <v>5.27</v>
      </c>
      <c r="O126" s="3" t="n">
        <f aca="false">$C$11*G126+$C$11*P126</f>
        <v>2.201835</v>
      </c>
      <c r="P126" s="3" t="n">
        <f aca="false">IF($C$23&gt;$E$43,($C$23-$E$43)*$C$8,0)</f>
        <v>14.6789</v>
      </c>
      <c r="Q126" s="3" t="n">
        <f aca="false">IF($C$24&gt;$F$43,($C$24-$F$43)*$C$9,0)</f>
        <v>3.72</v>
      </c>
      <c r="R126" s="3" t="n">
        <f aca="false">$C$25*($C$10*10000/1000000)</f>
        <v>0.00414</v>
      </c>
      <c r="S126" s="3" t="n">
        <v>0</v>
      </c>
      <c r="T126" s="3" t="n">
        <v>0</v>
      </c>
      <c r="U126" s="3" t="n">
        <v>0</v>
      </c>
      <c r="V126" s="235" t="n">
        <f aca="false">F126-N126</f>
        <v>-5.27</v>
      </c>
      <c r="W126" s="3" t="n">
        <f aca="false">H126-P126-O126</f>
        <v>22.049265</v>
      </c>
      <c r="X126" s="3" t="n">
        <f aca="false">I126-Q126</f>
        <v>8.37</v>
      </c>
      <c r="Y126" s="3" t="n">
        <f aca="false">J126-R126</f>
        <v>0.01656</v>
      </c>
      <c r="Z126" s="3" t="n">
        <f aca="false">K126-S126</f>
        <v>0</v>
      </c>
      <c r="AA126" s="3" t="n">
        <f aca="false">L126-T126</f>
        <v>0</v>
      </c>
      <c r="AB126" s="3" t="n">
        <f aca="false">M126-U126</f>
        <v>4.2</v>
      </c>
      <c r="AC126" s="235" t="n">
        <f aca="false">$E126*F126</f>
        <v>0</v>
      </c>
      <c r="AD126" s="3" t="n">
        <f aca="false">E126*H126</f>
        <v>77860</v>
      </c>
      <c r="AE126" s="3" t="n">
        <f aca="false">E126*I126</f>
        <v>24180</v>
      </c>
      <c r="AF126" s="3" t="n">
        <f aca="false">E126*J126</f>
        <v>41.4</v>
      </c>
      <c r="AG126" s="3" t="n">
        <f aca="false">E126*K126</f>
        <v>0</v>
      </c>
      <c r="AH126" s="3" t="n">
        <f aca="false">E126*L126</f>
        <v>0</v>
      </c>
      <c r="AI126" s="231" t="n">
        <f aca="false">E126*M126</f>
        <v>8400</v>
      </c>
      <c r="AJ126" s="232" t="n">
        <f aca="false">$E126*N126</f>
        <v>10540</v>
      </c>
      <c r="AK126" s="3" t="n">
        <f aca="false">E126*O126</f>
        <v>4403.67</v>
      </c>
      <c r="AL126" s="3" t="n">
        <f aca="false">E126*P126</f>
        <v>29357.8</v>
      </c>
      <c r="AM126" s="3" t="n">
        <f aca="false">E126*Q126</f>
        <v>7440</v>
      </c>
      <c r="AN126" s="3" t="n">
        <f aca="false">E126*R126</f>
        <v>8.28</v>
      </c>
      <c r="AO126" s="3" t="n">
        <f aca="false">E126*Z126</f>
        <v>0</v>
      </c>
      <c r="AP126" s="3" t="n">
        <f aca="false">E126*T126</f>
        <v>0</v>
      </c>
      <c r="AQ126" s="231" t="n">
        <f aca="false">E126*U126</f>
        <v>0</v>
      </c>
      <c r="AR126" s="3" t="n">
        <f aca="false">AC126-AJ126</f>
        <v>-10540</v>
      </c>
      <c r="AS126" s="3" t="n">
        <f aca="false">AD126-AK126-AL126</f>
        <v>44098.53</v>
      </c>
      <c r="AT126" s="3" t="n">
        <f aca="false">AE126-AM126</f>
        <v>16740</v>
      </c>
      <c r="AU126" s="3" t="n">
        <f aca="false">AF126-AN126</f>
        <v>33.12</v>
      </c>
      <c r="AV126" s="3" t="n">
        <f aca="false">AG126-AO126</f>
        <v>0</v>
      </c>
      <c r="AW126" s="3" t="n">
        <f aca="false">AH126-AP126</f>
        <v>0</v>
      </c>
      <c r="AX126" s="238" t="n">
        <f aca="false">AI126-AQ126</f>
        <v>8400</v>
      </c>
      <c r="AY126" s="5" t="n">
        <f aca="false">E126*$C$23</f>
        <v>458000</v>
      </c>
      <c r="AZ126" s="5" t="n">
        <f aca="false">E126*$C$24</f>
        <v>186000</v>
      </c>
      <c r="BA126" s="230" t="n">
        <f aca="false">E126*$C$25</f>
        <v>414</v>
      </c>
      <c r="BB126" s="24" t="n">
        <f aca="false">$K$43*AR126</f>
        <v>-0</v>
      </c>
      <c r="BC126" s="35" t="n">
        <f aca="false">$L$43*AR126</f>
        <v>-0</v>
      </c>
      <c r="BD126" s="2"/>
      <c r="BE126" s="2"/>
      <c r="BF126" s="2"/>
      <c r="BG126" s="2"/>
      <c r="BH126" s="2"/>
      <c r="BI126" s="2"/>
      <c r="BJ126" s="2"/>
      <c r="BK126" s="2"/>
      <c r="BL126" s="2"/>
      <c r="BM126" s="2"/>
    </row>
    <row r="127" customFormat="false" ht="12.75" hidden="false" customHeight="true" outlineLevel="0" collapsed="false">
      <c r="A127" s="2"/>
      <c r="B127" s="56"/>
      <c r="C127" s="25" t="str">
        <f aca="false">$C$44</f>
        <v>Program 3</v>
      </c>
      <c r="D127" s="281" t="n">
        <f aca="false">D118</f>
        <v>0.17</v>
      </c>
      <c r="E127" s="230" t="n">
        <f aca="false">D127*$D$38</f>
        <v>850</v>
      </c>
      <c r="F127" s="235" t="n">
        <v>6</v>
      </c>
      <c r="G127" s="3" t="n">
        <f aca="false">$K$44*F127</f>
        <v>6</v>
      </c>
      <c r="H127" s="3" t="n">
        <f aca="false">IF($C$23&gt;$E$44,($C$23-$E$44)*$G$44,0)</f>
        <v>23.1</v>
      </c>
      <c r="I127" s="3" t="n">
        <f aca="false">IF($C$24&gt;$F$44,($C$24-$F$44)*$H$44,0)</f>
        <v>9.3</v>
      </c>
      <c r="J127" s="3" t="n">
        <f aca="false">$C$25*$I$44</f>
        <v>0.0207</v>
      </c>
      <c r="K127" s="3" t="n">
        <f aca="false">IF($E$44&gt;$C$23,($E$44-$C$23)*$C$8,0)</f>
        <v>0</v>
      </c>
      <c r="L127" s="3" t="n">
        <f aca="false">IF($F$44&gt;$C$24,($F$44-$C$24)*$C$9,0)</f>
        <v>0</v>
      </c>
      <c r="M127" s="231" t="n">
        <v>2.8</v>
      </c>
      <c r="N127" s="232" t="n">
        <f aca="false">$C$2+($E$44*$C$8)+($F$44*$C$9)</f>
        <v>10.0775</v>
      </c>
      <c r="O127" s="3" t="n">
        <f aca="false">$C$11*G127+$C$11*P127</f>
        <v>2.38071</v>
      </c>
      <c r="P127" s="3" t="n">
        <f aca="false">IF($C$23&gt;$E$44,($C$23-$E$44)*$C$8,0)</f>
        <v>9.8714</v>
      </c>
      <c r="Q127" s="3" t="n">
        <f aca="false">IF($C$24&gt;$F$44,($C$24-$F$44)*$C$9,0)</f>
        <v>3.72</v>
      </c>
      <c r="R127" s="3" t="n">
        <f aca="false">$C$25*($C$10*10000/1000000)</f>
        <v>0.00414</v>
      </c>
      <c r="S127" s="3" t="n">
        <v>0</v>
      </c>
      <c r="T127" s="3" t="n">
        <v>0</v>
      </c>
      <c r="U127" s="3" t="n">
        <v>0</v>
      </c>
      <c r="V127" s="235" t="n">
        <f aca="false">F127-N127</f>
        <v>-4.0775</v>
      </c>
      <c r="W127" s="3" t="n">
        <f aca="false">H127-P127-O127</f>
        <v>10.84789</v>
      </c>
      <c r="X127" s="3" t="n">
        <f aca="false">I127-Q127</f>
        <v>5.58</v>
      </c>
      <c r="Y127" s="3" t="n">
        <f aca="false">J127-R127</f>
        <v>0.01656</v>
      </c>
      <c r="Z127" s="3" t="n">
        <f aca="false">K127-S127</f>
        <v>0</v>
      </c>
      <c r="AA127" s="3" t="n">
        <f aca="false">L127-T127</f>
        <v>0</v>
      </c>
      <c r="AB127" s="3" t="n">
        <f aca="false">M127-U127</f>
        <v>2.8</v>
      </c>
      <c r="AC127" s="235" t="n">
        <f aca="false">$E127*F127</f>
        <v>5100</v>
      </c>
      <c r="AD127" s="3" t="n">
        <f aca="false">E127*H127</f>
        <v>19635</v>
      </c>
      <c r="AE127" s="3" t="n">
        <f aca="false">E127*I127</f>
        <v>7905</v>
      </c>
      <c r="AF127" s="3" t="n">
        <f aca="false">E127*J127</f>
        <v>17.595</v>
      </c>
      <c r="AG127" s="3" t="n">
        <f aca="false">E127*K127</f>
        <v>0</v>
      </c>
      <c r="AH127" s="3" t="n">
        <f aca="false">E127*L127</f>
        <v>0</v>
      </c>
      <c r="AI127" s="231" t="n">
        <f aca="false">E127*M127</f>
        <v>2380</v>
      </c>
      <c r="AJ127" s="232" t="n">
        <f aca="false">$E127*N127</f>
        <v>8565.875</v>
      </c>
      <c r="AK127" s="3" t="n">
        <f aca="false">E127*O127</f>
        <v>2023.6035</v>
      </c>
      <c r="AL127" s="3" t="n">
        <f aca="false">E127*P127</f>
        <v>8390.69</v>
      </c>
      <c r="AM127" s="3" t="n">
        <f aca="false">E127*Q127</f>
        <v>3162</v>
      </c>
      <c r="AN127" s="3" t="n">
        <f aca="false">E127*R127</f>
        <v>3.519</v>
      </c>
      <c r="AO127" s="3" t="n">
        <f aca="false">E127*Z127</f>
        <v>0</v>
      </c>
      <c r="AP127" s="3" t="n">
        <f aca="false">E127*T127</f>
        <v>0</v>
      </c>
      <c r="AQ127" s="231" t="n">
        <f aca="false">E127*U127</f>
        <v>0</v>
      </c>
      <c r="AR127" s="3" t="n">
        <f aca="false">AC127-AJ127</f>
        <v>-3465.875</v>
      </c>
      <c r="AS127" s="3" t="n">
        <f aca="false">AD127-AK127-AL127</f>
        <v>9220.7065</v>
      </c>
      <c r="AT127" s="3" t="n">
        <f aca="false">AE127-AM127</f>
        <v>4743</v>
      </c>
      <c r="AU127" s="3" t="n">
        <f aca="false">AF127-AN127</f>
        <v>14.076</v>
      </c>
      <c r="AV127" s="3" t="n">
        <f aca="false">AG127-AO127</f>
        <v>0</v>
      </c>
      <c r="AW127" s="3" t="n">
        <f aca="false">AH127-AP127</f>
        <v>0</v>
      </c>
      <c r="AX127" s="238" t="n">
        <f aca="false">AI127-AQ127</f>
        <v>2380</v>
      </c>
      <c r="AY127" s="5" t="n">
        <f aca="false">E127*$C$23</f>
        <v>194650</v>
      </c>
      <c r="AZ127" s="5" t="n">
        <f aca="false">E127*$C$24</f>
        <v>79050</v>
      </c>
      <c r="BA127" s="230" t="n">
        <f aca="false">E127*$C$25</f>
        <v>175.95</v>
      </c>
      <c r="BB127" s="24" t="n">
        <f aca="false">$K$44*AR127</f>
        <v>-3465.875</v>
      </c>
      <c r="BC127" s="35" t="n">
        <f aca="false">$L$44*AR127</f>
        <v>-0</v>
      </c>
      <c r="BD127" s="2"/>
      <c r="BE127" s="2"/>
      <c r="BF127" s="2"/>
      <c r="BG127" s="2"/>
      <c r="BH127" s="2"/>
      <c r="BI127" s="2"/>
      <c r="BJ127" s="2"/>
      <c r="BK127" s="2"/>
      <c r="BL127" s="2"/>
      <c r="BM127" s="2"/>
    </row>
    <row r="128" customFormat="false" ht="12.75" hidden="false" customHeight="true" outlineLevel="0" collapsed="false">
      <c r="A128" s="2"/>
      <c r="B128" s="56"/>
      <c r="C128" s="25" t="str">
        <f aca="false">$C$45</f>
        <v>Program 4</v>
      </c>
      <c r="D128" s="281" t="n">
        <f aca="false">D119</f>
        <v>0.1</v>
      </c>
      <c r="E128" s="230" t="n">
        <f aca="false">D128*$D$38</f>
        <v>500</v>
      </c>
      <c r="F128" s="235" t="n">
        <v>15</v>
      </c>
      <c r="G128" s="3" t="n">
        <f aca="false">$K$45*F128</f>
        <v>15</v>
      </c>
      <c r="H128" s="3" t="n">
        <f aca="false">IF($C$23&gt;$E$45,($C$23-$E$45)*$G$45,0)</f>
        <v>3.77</v>
      </c>
      <c r="I128" s="3" t="n">
        <f aca="false">IF($C$24&gt;$F$45,($C$24-$F$45)*$H$45,0)</f>
        <v>9.3</v>
      </c>
      <c r="J128" s="3" t="n">
        <f aca="false">$C$25*$I$45</f>
        <v>0.0207</v>
      </c>
      <c r="K128" s="3" t="n">
        <f aca="false">IF($E$45&gt;$C$23,($E$45-$C$23)*$C$8,0)</f>
        <v>0</v>
      </c>
      <c r="L128" s="3" t="n">
        <f aca="false">IF($F$45&gt;$C$24,($F$45-$C$24)*$C$9,0)</f>
        <v>0</v>
      </c>
      <c r="M128" s="231" t="n">
        <v>0</v>
      </c>
      <c r="N128" s="232" t="n">
        <f aca="false">$C$2+($E$45*$C$8)+($F$45*$C$9)</f>
        <v>18.09</v>
      </c>
      <c r="O128" s="3" t="n">
        <f aca="false">$C$11*G128+$C$11*P128</f>
        <v>2.528835</v>
      </c>
      <c r="P128" s="3" t="n">
        <f aca="false">IF($C$23&gt;$E$45,($C$23-$E$45)*$C$8,0)</f>
        <v>1.8589</v>
      </c>
      <c r="Q128" s="3" t="n">
        <f aca="false">IF($C$24&gt;$F$45,($C$24-$F$45)*$C$9,0)</f>
        <v>3.72</v>
      </c>
      <c r="R128" s="3" t="n">
        <f aca="false">$C$25*($C$10*10000/1000000)</f>
        <v>0.00414</v>
      </c>
      <c r="S128" s="3" t="n">
        <v>0</v>
      </c>
      <c r="T128" s="3" t="n">
        <v>0</v>
      </c>
      <c r="U128" s="3" t="n">
        <v>0</v>
      </c>
      <c r="V128" s="235" t="n">
        <f aca="false">F128-N128</f>
        <v>-3.09</v>
      </c>
      <c r="W128" s="3" t="n">
        <f aca="false">H128-P128-O128</f>
        <v>-0.617735</v>
      </c>
      <c r="X128" s="3" t="n">
        <f aca="false">I128-Q128</f>
        <v>5.58</v>
      </c>
      <c r="Y128" s="3" t="n">
        <f aca="false">J128-R128</f>
        <v>0.01656</v>
      </c>
      <c r="Z128" s="3" t="n">
        <f aca="false">K128-S128</f>
        <v>0</v>
      </c>
      <c r="AA128" s="3" t="n">
        <f aca="false">L128-T128</f>
        <v>0</v>
      </c>
      <c r="AB128" s="3" t="n">
        <f aca="false">M128-U128</f>
        <v>0</v>
      </c>
      <c r="AC128" s="235" t="n">
        <f aca="false">$E128*F128</f>
        <v>7500</v>
      </c>
      <c r="AD128" s="3" t="n">
        <f aca="false">E128*H128</f>
        <v>1885</v>
      </c>
      <c r="AE128" s="3" t="n">
        <f aca="false">E128*I128</f>
        <v>4650</v>
      </c>
      <c r="AF128" s="3" t="n">
        <f aca="false">E128*J128</f>
        <v>10.35</v>
      </c>
      <c r="AG128" s="3" t="n">
        <f aca="false">E128*K128</f>
        <v>0</v>
      </c>
      <c r="AH128" s="3" t="n">
        <f aca="false">E128*L128</f>
        <v>0</v>
      </c>
      <c r="AI128" s="231" t="n">
        <f aca="false">E128*M128</f>
        <v>0</v>
      </c>
      <c r="AJ128" s="232" t="n">
        <f aca="false">$E128*N128</f>
        <v>9045</v>
      </c>
      <c r="AK128" s="3" t="n">
        <f aca="false">E128*O128</f>
        <v>1264.4175</v>
      </c>
      <c r="AL128" s="3" t="n">
        <f aca="false">E128*P128</f>
        <v>929.45</v>
      </c>
      <c r="AM128" s="3" t="n">
        <f aca="false">E128*Q128</f>
        <v>1860</v>
      </c>
      <c r="AN128" s="3" t="n">
        <f aca="false">E128*R128</f>
        <v>2.07</v>
      </c>
      <c r="AO128" s="3" t="n">
        <f aca="false">E128*Z128</f>
        <v>0</v>
      </c>
      <c r="AP128" s="3" t="n">
        <f aca="false">E128*T128</f>
        <v>0</v>
      </c>
      <c r="AQ128" s="231" t="n">
        <f aca="false">E128*U128</f>
        <v>0</v>
      </c>
      <c r="AR128" s="3" t="n">
        <f aca="false">AC128-AJ128</f>
        <v>-1545</v>
      </c>
      <c r="AS128" s="3" t="n">
        <f aca="false">AD128-AK128-AL128</f>
        <v>-308.8675</v>
      </c>
      <c r="AT128" s="3" t="n">
        <f aca="false">AE128-AM128</f>
        <v>2790</v>
      </c>
      <c r="AU128" s="3" t="n">
        <f aca="false">AF128-AN128</f>
        <v>8.28</v>
      </c>
      <c r="AV128" s="3" t="n">
        <f aca="false">AG128-AO128</f>
        <v>0</v>
      </c>
      <c r="AW128" s="3" t="n">
        <f aca="false">AH128-AP128</f>
        <v>0</v>
      </c>
      <c r="AX128" s="238" t="n">
        <f aca="false">AI128-AQ128</f>
        <v>0</v>
      </c>
      <c r="AY128" s="5" t="n">
        <f aca="false">E128*$C$23</f>
        <v>114500</v>
      </c>
      <c r="AZ128" s="5" t="n">
        <f aca="false">E128*$C$24</f>
        <v>46500</v>
      </c>
      <c r="BA128" s="230" t="n">
        <f aca="false">E128*$C$25</f>
        <v>103.5</v>
      </c>
      <c r="BB128" s="24" t="n">
        <f aca="false">$K$45*AR128</f>
        <v>-1545</v>
      </c>
      <c r="BC128" s="35" t="n">
        <f aca="false">$L$45*AR128</f>
        <v>-0</v>
      </c>
      <c r="BD128" s="2"/>
      <c r="BE128" s="2"/>
      <c r="BF128" s="2"/>
      <c r="BG128" s="2"/>
      <c r="BH128" s="2"/>
      <c r="BI128" s="2"/>
      <c r="BJ128" s="2"/>
      <c r="BK128" s="2"/>
      <c r="BL128" s="2"/>
      <c r="BM128" s="2"/>
    </row>
    <row r="129" customFormat="false" ht="12.75" hidden="false" customHeight="true" outlineLevel="0" collapsed="false">
      <c r="A129" s="2"/>
      <c r="B129" s="56"/>
      <c r="C129" s="25" t="str">
        <f aca="false">$C$46</f>
        <v>Program 5</v>
      </c>
      <c r="D129" s="281" t="n">
        <f aca="false">D120</f>
        <v>0.05</v>
      </c>
      <c r="E129" s="230" t="n">
        <f aca="false">D129*$D$38</f>
        <v>250</v>
      </c>
      <c r="F129" s="235" t="n">
        <v>25</v>
      </c>
      <c r="G129" s="3" t="n">
        <f aca="false">$K$46*F129</f>
        <v>25</v>
      </c>
      <c r="H129" s="3" t="n">
        <f aca="false">IF($C$23&gt;$E$46,($C$23-$E$46)*$G$46,0)</f>
        <v>0</v>
      </c>
      <c r="I129" s="3" t="n">
        <f aca="false">IF($C$24&gt;$F$46,($C$24-$F$46)*$H$46,0)</f>
        <v>9.3</v>
      </c>
      <c r="J129" s="3" t="n">
        <f aca="false">$C$25*$I$46</f>
        <v>0.0207</v>
      </c>
      <c r="K129" s="3" t="n">
        <f aca="false">IF($E$46&gt;$C$23,($E$46-$C$23)*$C$8,0)</f>
        <v>14.1661</v>
      </c>
      <c r="L129" s="3" t="n">
        <f aca="false">IF($F$46&gt;$C$24,($F$46-$C$24)*$C$9,0)</f>
        <v>0</v>
      </c>
      <c r="M129" s="231" t="n">
        <v>0</v>
      </c>
      <c r="N129" s="232" t="n">
        <f aca="false">$C$2+($E$46*$C$8)+($F$46*$C$9)</f>
        <v>34.115</v>
      </c>
      <c r="O129" s="3" t="n">
        <f aca="false">$C$11*G129+$C$11*P129</f>
        <v>3.75</v>
      </c>
      <c r="P129" s="3" t="n">
        <f aca="false">IF($C$23&gt;$E$46,($C$23-$E$46)*$C$8,0)</f>
        <v>0</v>
      </c>
      <c r="Q129" s="3" t="n">
        <f aca="false">IF($C$24&gt;$F$46,($C$24-$F$46)*$C$9,0)</f>
        <v>3.72</v>
      </c>
      <c r="R129" s="3" t="n">
        <f aca="false">$C$25*($C$10*10000/1000000)</f>
        <v>0.00414</v>
      </c>
      <c r="S129" s="3" t="n">
        <v>0</v>
      </c>
      <c r="T129" s="3" t="n">
        <v>0</v>
      </c>
      <c r="U129" s="3" t="n">
        <v>0</v>
      </c>
      <c r="V129" s="235" t="n">
        <f aca="false">F129-N129</f>
        <v>-9.115</v>
      </c>
      <c r="W129" s="3" t="n">
        <f aca="false">H129-P129-O129</f>
        <v>-3.75</v>
      </c>
      <c r="X129" s="3" t="n">
        <f aca="false">I129-Q129</f>
        <v>5.58</v>
      </c>
      <c r="Y129" s="3" t="n">
        <f aca="false">J129-R129</f>
        <v>0.01656</v>
      </c>
      <c r="Z129" s="3" t="n">
        <f aca="false">K129-S129</f>
        <v>14.1661</v>
      </c>
      <c r="AA129" s="3" t="n">
        <f aca="false">L129-T129</f>
        <v>0</v>
      </c>
      <c r="AB129" s="3" t="n">
        <f aca="false">M129-U129</f>
        <v>0</v>
      </c>
      <c r="AC129" s="235" t="n">
        <f aca="false">$E129*F129</f>
        <v>6250</v>
      </c>
      <c r="AD129" s="3" t="n">
        <f aca="false">E129*H129</f>
        <v>0</v>
      </c>
      <c r="AE129" s="3" t="n">
        <f aca="false">E129*I129</f>
        <v>2325</v>
      </c>
      <c r="AF129" s="3" t="n">
        <f aca="false">E129*J129</f>
        <v>5.175</v>
      </c>
      <c r="AG129" s="3" t="n">
        <f aca="false">E129*K129</f>
        <v>3541.525</v>
      </c>
      <c r="AH129" s="3" t="n">
        <f aca="false">E129*L129</f>
        <v>0</v>
      </c>
      <c r="AI129" s="231" t="n">
        <f aca="false">E129*M129</f>
        <v>0</v>
      </c>
      <c r="AJ129" s="232" t="n">
        <f aca="false">$E129*N129</f>
        <v>8528.75</v>
      </c>
      <c r="AK129" s="3" t="n">
        <f aca="false">E129*O129</f>
        <v>937.5</v>
      </c>
      <c r="AL129" s="3" t="n">
        <f aca="false">E129*P129</f>
        <v>0</v>
      </c>
      <c r="AM129" s="3" t="n">
        <f aca="false">E129*Q129</f>
        <v>930</v>
      </c>
      <c r="AN129" s="3" t="n">
        <f aca="false">E129*R129</f>
        <v>1.035</v>
      </c>
      <c r="AO129" s="3" t="n">
        <f aca="false">E129*Z129</f>
        <v>3541.525</v>
      </c>
      <c r="AP129" s="3" t="n">
        <f aca="false">E129*T129</f>
        <v>0</v>
      </c>
      <c r="AQ129" s="231" t="n">
        <f aca="false">E129*U129</f>
        <v>0</v>
      </c>
      <c r="AR129" s="3" t="n">
        <f aca="false">AC129-AJ129</f>
        <v>-2278.75</v>
      </c>
      <c r="AS129" s="3" t="n">
        <f aca="false">AD129-AK129-AL129</f>
        <v>-937.5</v>
      </c>
      <c r="AT129" s="3" t="n">
        <f aca="false">AE129-AM129</f>
        <v>1395</v>
      </c>
      <c r="AU129" s="3" t="n">
        <f aca="false">AF129-AN129</f>
        <v>4.14</v>
      </c>
      <c r="AV129" s="3" t="n">
        <f aca="false">AG129-AO129</f>
        <v>0</v>
      </c>
      <c r="AW129" s="3" t="n">
        <f aca="false">AH129-AP129</f>
        <v>0</v>
      </c>
      <c r="AX129" s="238" t="n">
        <f aca="false">AI129-AQ129</f>
        <v>0</v>
      </c>
      <c r="AY129" s="5" t="n">
        <f aca="false">E129*$C$23</f>
        <v>57250</v>
      </c>
      <c r="AZ129" s="5" t="n">
        <f aca="false">E129*$C$24</f>
        <v>23250</v>
      </c>
      <c r="BA129" s="230" t="n">
        <f aca="false">E129*$C$25</f>
        <v>51.75</v>
      </c>
      <c r="BB129" s="24" t="n">
        <f aca="false">$K$46*AR129</f>
        <v>-2278.75</v>
      </c>
      <c r="BC129" s="35" t="n">
        <f aca="false">$L$46*AR129</f>
        <v>-0</v>
      </c>
      <c r="BD129" s="2"/>
      <c r="BE129" s="2"/>
      <c r="BF129" s="2"/>
      <c r="BG129" s="2"/>
      <c r="BH129" s="2"/>
      <c r="BI129" s="2"/>
      <c r="BJ129" s="2"/>
      <c r="BK129" s="2"/>
      <c r="BL129" s="2"/>
      <c r="BM129" s="2"/>
    </row>
    <row r="130" customFormat="false" ht="12.75" hidden="false" customHeight="true" outlineLevel="0" collapsed="false">
      <c r="A130" s="27"/>
      <c r="B130" s="56"/>
      <c r="C130" s="25" t="str">
        <f aca="false">$C$47</f>
        <v>Program 6</v>
      </c>
      <c r="D130" s="192" t="n">
        <f aca="false">D121</f>
        <v>0.01</v>
      </c>
      <c r="E130" s="230" t="n">
        <f aca="false">D130*$D$30</f>
        <v>150</v>
      </c>
      <c r="F130" s="3" t="n">
        <v>25</v>
      </c>
      <c r="G130" s="3" t="n">
        <f aca="false">$K$46*F130</f>
        <v>25</v>
      </c>
      <c r="H130" s="3" t="n">
        <f aca="false">IF($C$23&gt;$E$46,($C$23-$E$46)*$G$46,0)</f>
        <v>0</v>
      </c>
      <c r="I130" s="3" t="n">
        <f aca="false">IF($C$24&gt;$F$46,($C$24-$F$46)*$H$46,0)</f>
        <v>9.3</v>
      </c>
      <c r="J130" s="3" t="n">
        <f aca="false">$C$25*$I$46</f>
        <v>0.0207</v>
      </c>
      <c r="K130" s="3" t="n">
        <f aca="false">IF($E$46&gt;$C$23,($E$46-$C$23)*$C$8,0)</f>
        <v>14.1661</v>
      </c>
      <c r="L130" s="3" t="n">
        <f aca="false">IF($F$46&gt;$C$24,($F$46-$C$24)*$C$9,0)</f>
        <v>0</v>
      </c>
      <c r="M130" s="231" t="n">
        <v>0</v>
      </c>
      <c r="N130" s="232" t="n">
        <f aca="false">$C$2+($E$46*$C$8)+($F$46*$C$9)</f>
        <v>34.115</v>
      </c>
      <c r="O130" s="3" t="n">
        <f aca="false">$C$11*G130+$C$11*P130</f>
        <v>3.75</v>
      </c>
      <c r="P130" s="3" t="n">
        <f aca="false">IF($C$23&gt;$E$46,($C$23-$E$46)*$C$8,0)</f>
        <v>0</v>
      </c>
      <c r="Q130" s="3" t="n">
        <f aca="false">IF($C$24&gt;$F$46,($C$24-$F$46)*$C$9,0)</f>
        <v>3.72</v>
      </c>
      <c r="R130" s="3" t="n">
        <f aca="false">$C$25*($C$10*10000/1000000)</f>
        <v>0.00414</v>
      </c>
      <c r="S130" s="3" t="n">
        <v>0</v>
      </c>
      <c r="T130" s="3" t="n">
        <v>0</v>
      </c>
      <c r="U130" s="3" t="n">
        <v>0</v>
      </c>
      <c r="V130" s="235" t="n">
        <f aca="false">F130-N130</f>
        <v>-9.115</v>
      </c>
      <c r="W130" s="3" t="n">
        <f aca="false">H130-P130-O130</f>
        <v>-3.75</v>
      </c>
      <c r="X130" s="3" t="n">
        <f aca="false">I130-Q130</f>
        <v>5.58</v>
      </c>
      <c r="Y130" s="3" t="n">
        <f aca="false">J130-R130</f>
        <v>0.01656</v>
      </c>
      <c r="Z130" s="3" t="n">
        <f aca="false">K130-S130</f>
        <v>14.1661</v>
      </c>
      <c r="AA130" s="3" t="n">
        <f aca="false">L130-T130</f>
        <v>0</v>
      </c>
      <c r="AB130" s="3" t="n">
        <f aca="false">M130-U130</f>
        <v>0</v>
      </c>
      <c r="AC130" s="235" t="n">
        <f aca="false">$E130*F130</f>
        <v>3750</v>
      </c>
      <c r="AD130" s="3" t="n">
        <f aca="false">E130*H130</f>
        <v>0</v>
      </c>
      <c r="AE130" s="3" t="n">
        <f aca="false">E130*I130</f>
        <v>1395</v>
      </c>
      <c r="AF130" s="3" t="n">
        <f aca="false">E130*J130</f>
        <v>3.105</v>
      </c>
      <c r="AG130" s="3" t="n">
        <f aca="false">E130*K130</f>
        <v>2124.915</v>
      </c>
      <c r="AH130" s="3" t="n">
        <f aca="false">E130*L130</f>
        <v>0</v>
      </c>
      <c r="AI130" s="3" t="n">
        <f aca="false">E130*M130</f>
        <v>0</v>
      </c>
      <c r="AJ130" s="232" t="n">
        <f aca="false">$E130*N130</f>
        <v>5117.25</v>
      </c>
      <c r="AK130" s="3" t="n">
        <f aca="false">E130*O130</f>
        <v>562.5</v>
      </c>
      <c r="AL130" s="3" t="n">
        <f aca="false">E130*P130</f>
        <v>0</v>
      </c>
      <c r="AM130" s="3" t="n">
        <f aca="false">E130*Q130</f>
        <v>558</v>
      </c>
      <c r="AN130" s="3" t="n">
        <f aca="false">E130*R130</f>
        <v>0.621</v>
      </c>
      <c r="AO130" s="3" t="n">
        <f aca="false">E130*Z130</f>
        <v>2124.915</v>
      </c>
      <c r="AP130" s="3" t="n">
        <f aca="false">E130*T130</f>
        <v>0</v>
      </c>
      <c r="AQ130" s="231" t="n">
        <f aca="false">E130*U130</f>
        <v>0</v>
      </c>
      <c r="AR130" s="3" t="n">
        <f aca="false">AC130-AJ130</f>
        <v>-1367.25</v>
      </c>
      <c r="AS130" s="3" t="n">
        <f aca="false">AD130-AK130-AL130</f>
        <v>-562.5</v>
      </c>
      <c r="AT130" s="3" t="n">
        <f aca="false">AE130-AM130</f>
        <v>837</v>
      </c>
      <c r="AU130" s="3" t="n">
        <f aca="false">AF130-AN130</f>
        <v>2.484</v>
      </c>
      <c r="AV130" s="3" t="n">
        <f aca="false">AG130-AO130</f>
        <v>0</v>
      </c>
      <c r="AW130" s="3" t="n">
        <f aca="false">AH130-AP130</f>
        <v>0</v>
      </c>
      <c r="AX130" s="238" t="n">
        <f aca="false">AI130-AQ130</f>
        <v>0</v>
      </c>
      <c r="AY130" s="5" t="n">
        <f aca="false">E130*$C$23</f>
        <v>34350</v>
      </c>
      <c r="AZ130" s="5" t="n">
        <f aca="false">E130*$C$24</f>
        <v>13950</v>
      </c>
      <c r="BA130" s="230" t="n">
        <f aca="false">E130*$C$25</f>
        <v>31.05</v>
      </c>
      <c r="BB130" s="24" t="n">
        <f aca="false">$K$46*AR130</f>
        <v>-1367.25</v>
      </c>
      <c r="BC130" s="35" t="n">
        <f aca="false">$L$46*AR130</f>
        <v>-0</v>
      </c>
      <c r="BD130" s="2"/>
      <c r="BE130" s="2"/>
      <c r="BF130" s="2"/>
      <c r="BG130" s="2"/>
      <c r="BH130" s="2"/>
      <c r="BI130" s="2"/>
      <c r="BJ130" s="2"/>
      <c r="BK130" s="2"/>
      <c r="BL130" s="2"/>
      <c r="BM130" s="2"/>
    </row>
    <row r="131" customFormat="false" ht="13.5" hidden="false" customHeight="true" outlineLevel="0" collapsed="false">
      <c r="A131" s="2"/>
      <c r="B131" s="68"/>
      <c r="C131" s="69" t="n">
        <f aca="false">$C$48</f>
        <v>0</v>
      </c>
      <c r="D131" s="287" t="n">
        <f aca="false">D122</f>
        <v>0</v>
      </c>
      <c r="E131" s="283" t="n">
        <f aca="false">D131*$D$38</f>
        <v>0</v>
      </c>
      <c r="F131" s="235" t="n">
        <v>35</v>
      </c>
      <c r="G131" s="3" t="n">
        <f aca="false">$K$48*F131</f>
        <v>35</v>
      </c>
      <c r="H131" s="244" t="n">
        <f aca="false">IF($C$23&gt;$E$48,($C$23-$E$48)*$G$48,0)</f>
        <v>0</v>
      </c>
      <c r="I131" s="244" t="n">
        <f aca="false">IF($C$24&gt;$F$48,($C$24-$F$48)*$H$48,0)</f>
        <v>0</v>
      </c>
      <c r="J131" s="244" t="n">
        <f aca="false">$C$25*$I$48</f>
        <v>0</v>
      </c>
      <c r="K131" s="244" t="n">
        <f aca="false">IF($E$48&gt;$C$23,($E$48-$C$23)*$C$8,0)</f>
        <v>0</v>
      </c>
      <c r="L131" s="244" t="n">
        <f aca="false">IF($F$48&gt;$C$24,($F$48-$C$24)*$C$9,0)</f>
        <v>0</v>
      </c>
      <c r="M131" s="246" t="n">
        <v>0</v>
      </c>
      <c r="N131" s="232" t="n">
        <f aca="false">$C$2+($E$48*$C$8)+($F$48*$C$9)</f>
        <v>5.27</v>
      </c>
      <c r="O131" s="3" t="n">
        <f aca="false">$C$11*G131+$C$11*P131</f>
        <v>7.451835</v>
      </c>
      <c r="P131" s="244" t="n">
        <f aca="false">IF($C$23&gt;$E$48,($C$23-$E$48)*$C$8,0)</f>
        <v>14.6789</v>
      </c>
      <c r="Q131" s="244" t="n">
        <f aca="false">IF($C$24&gt;$F$48,($C$24-$F$48)*$C$9,0)</f>
        <v>3.72</v>
      </c>
      <c r="R131" s="244" t="n">
        <f aca="false">$C$25*($C$10*10000/1000000)</f>
        <v>0.00414</v>
      </c>
      <c r="S131" s="3" t="n">
        <v>0</v>
      </c>
      <c r="T131" s="3" t="n">
        <v>0</v>
      </c>
      <c r="U131" s="3" t="n">
        <v>0</v>
      </c>
      <c r="V131" s="288" t="n">
        <f aca="false">F131-N131</f>
        <v>29.73</v>
      </c>
      <c r="W131" s="88" t="n">
        <f aca="false">H131-P131-O131</f>
        <v>-22.130735</v>
      </c>
      <c r="X131" s="88" t="n">
        <f aca="false">I131-Q131</f>
        <v>-3.72</v>
      </c>
      <c r="Y131" s="88" t="n">
        <f aca="false">J131-R131</f>
        <v>-0.00414</v>
      </c>
      <c r="Z131" s="88" t="n">
        <f aca="false">K131-S131</f>
        <v>0</v>
      </c>
      <c r="AA131" s="88" t="n">
        <f aca="false">L131-T131</f>
        <v>0</v>
      </c>
      <c r="AB131" s="88" t="n">
        <f aca="false">M131-U131</f>
        <v>0</v>
      </c>
      <c r="AC131" s="284" t="n">
        <f aca="false">$E131*F131</f>
        <v>0</v>
      </c>
      <c r="AD131" s="244" t="n">
        <f aca="false">E131*H131</f>
        <v>0</v>
      </c>
      <c r="AE131" s="244" t="n">
        <f aca="false">E131*I131</f>
        <v>0</v>
      </c>
      <c r="AF131" s="244" t="n">
        <f aca="false">E131*J131</f>
        <v>0</v>
      </c>
      <c r="AG131" s="244" t="n">
        <f aca="false">E131*K131</f>
        <v>0</v>
      </c>
      <c r="AH131" s="244" t="n">
        <f aca="false">E131*L131</f>
        <v>0</v>
      </c>
      <c r="AI131" s="246" t="n">
        <f aca="false">E131*M131</f>
        <v>0</v>
      </c>
      <c r="AJ131" s="245" t="n">
        <f aca="false">$E131*N131</f>
        <v>0</v>
      </c>
      <c r="AK131" s="244" t="n">
        <f aca="false">E131*O131</f>
        <v>0</v>
      </c>
      <c r="AL131" s="244" t="n">
        <f aca="false">E131*P131</f>
        <v>0</v>
      </c>
      <c r="AM131" s="244" t="n">
        <f aca="false">E131*Q131</f>
        <v>0</v>
      </c>
      <c r="AN131" s="244" t="n">
        <f aca="false">E131*R131</f>
        <v>0</v>
      </c>
      <c r="AO131" s="244" t="n">
        <f aca="false">E131*Z131</f>
        <v>0</v>
      </c>
      <c r="AP131" s="244" t="n">
        <f aca="false">E131*T131</f>
        <v>0</v>
      </c>
      <c r="AQ131" s="246" t="n">
        <f aca="false">E131*U131</f>
        <v>0</v>
      </c>
      <c r="AR131" s="3" t="n">
        <f aca="false">AC131-AJ131</f>
        <v>0</v>
      </c>
      <c r="AS131" s="3" t="n">
        <f aca="false">AD131-AK131-AL131</f>
        <v>0</v>
      </c>
      <c r="AT131" s="3" t="n">
        <f aca="false">AE131-AM131</f>
        <v>0</v>
      </c>
      <c r="AU131" s="3" t="n">
        <f aca="false">AF131-AN131</f>
        <v>0</v>
      </c>
      <c r="AV131" s="3" t="n">
        <f aca="false">AG131-AO131</f>
        <v>0</v>
      </c>
      <c r="AW131" s="3" t="n">
        <f aca="false">AH131-AP131</f>
        <v>0</v>
      </c>
      <c r="AX131" s="238" t="n">
        <f aca="false">AI131-AQ131</f>
        <v>0</v>
      </c>
      <c r="AY131" s="156" t="n">
        <f aca="false">E131*$C$23</f>
        <v>0</v>
      </c>
      <c r="AZ131" s="156" t="n">
        <f aca="false">E131*$C$24</f>
        <v>0</v>
      </c>
      <c r="BA131" s="289" t="n">
        <f aca="false">E131*$C$25</f>
        <v>0</v>
      </c>
      <c r="BB131" s="24" t="n">
        <f aca="false">$K$48*AR131</f>
        <v>0</v>
      </c>
      <c r="BC131" s="35" t="n">
        <f aca="false">$L$48*AR131</f>
        <v>0</v>
      </c>
      <c r="BD131" s="2"/>
      <c r="BE131" s="2"/>
      <c r="BF131" s="2"/>
      <c r="BG131" s="2"/>
      <c r="BH131" s="2"/>
      <c r="BI131" s="2"/>
      <c r="BJ131" s="2"/>
      <c r="BK131" s="2"/>
      <c r="BL131" s="2"/>
      <c r="BM131" s="2"/>
    </row>
    <row r="132" customFormat="false" ht="12.75" hidden="false" customHeight="true" outlineLevel="0" collapsed="false">
      <c r="A132" s="2"/>
      <c r="B132" s="247"/>
      <c r="C132" s="248" t="s">
        <v>171</v>
      </c>
      <c r="D132" s="249"/>
      <c r="E132" s="250"/>
      <c r="F132" s="251" t="n">
        <f aca="false">(($E125*F125)+($E126*F126)+($E127*F127)+($E128*F128)+($E129*F129)+($E131*F131))/($E133)</f>
        <v>3.69607843137255</v>
      </c>
      <c r="G132" s="251" t="n">
        <f aca="false">(($E125*G125)+($E126*G126)+($E127*G127)+($E128*G128)+($E129*G129)+($E131*G131))/($E133)</f>
        <v>3.69607843137255</v>
      </c>
      <c r="H132" s="251" t="n">
        <f aca="false">(($E125*H125)+($E126*H126)+($E127*H127)+($E128*H128)+($E129*H129)+($E131*H131))/($E133)</f>
        <v>27.366568627451</v>
      </c>
      <c r="I132" s="251" t="n">
        <f aca="false">(($E125*I125)+($E126*I126)+($E127*I127)+($E128*I128)+($E129*I129)+($E131*I131))/($E133)</f>
        <v>10.1205882352941</v>
      </c>
      <c r="J132" s="251" t="n">
        <f aca="false">(($E125*J125)+($E126*J126)+($E127*J127)+($E128*J128)+($E129*J129)+($E131*J131))/($E133)</f>
        <v>0.0200911764705882</v>
      </c>
      <c r="K132" s="251" t="n">
        <f aca="false">(($E125*K125)+($E126*K126)+($E127*K127)+($E128*K128)+($E129*K129)+($E131*K131))/($E133)</f>
        <v>0.694416666666667</v>
      </c>
      <c r="L132" s="251" t="n">
        <f aca="false">(($E125*L125)+($E126*L126)+($E127*L127)+($E128*L128)+($E129*L129)+($E131*L131))/($E133)</f>
        <v>0</v>
      </c>
      <c r="M132" s="251" t="n">
        <f aca="false">(($E125*M125)+($E126*M126)+($E127*M127)+($E128*M128)+($E129*M129)+($E131*M131))/($E133)</f>
        <v>2.11372549019608</v>
      </c>
      <c r="N132" s="252" t="n">
        <f aca="false">(($E125*N125)+($E126*N126)+($E127*N127)+($E128*N128)+($E129*N129)+($E131*N131))/($E133)</f>
        <v>8.58708333333333</v>
      </c>
      <c r="O132" s="251" t="n">
        <f aca="false">(($E125*O125)+($E126*O126)+($E127*O127)+($E128*O128)+($E129*O129)+($E131*O131))/($E133)</f>
        <v>2.27483691176471</v>
      </c>
      <c r="P132" s="251" t="n">
        <f aca="false">(($E125*P125)+($E126*P126)+($E127*P127)+($E128*P128)+($E129*P129)+($E131*P131))/($E133)</f>
        <v>11.4695009803922</v>
      </c>
      <c r="Q132" s="251" t="n">
        <f aca="false">(($E125*Q125)+($E126*Q126)+($E127*Q127)+($E128*Q128)+($E129*Q129)+($E131*Q131))/($E133)</f>
        <v>3.61058823529412</v>
      </c>
      <c r="R132" s="251" t="n">
        <f aca="false">(($E125*R125)+($E126*R126)+($E127*R127)+($E128*R128)+($E129*R129)+($E131*R131))/($E133)</f>
        <v>0.00401823529411765</v>
      </c>
      <c r="S132" s="251" t="n">
        <f aca="false">(($E125*S125)+($E126*S126)+($E127*S127)+($E128*S128)+($E129*S129)+($E131*S131))/($E133)</f>
        <v>0</v>
      </c>
      <c r="T132" s="251" t="n">
        <f aca="false">(($E125*T125)+($E126*T126)+($E127*T127)+($E128*T128)+($E129*T129)+($E131*T131))/($E133)</f>
        <v>0</v>
      </c>
      <c r="U132" s="251" t="n">
        <f aca="false">(($E125*U125)+($E126*U126)+($E127*U127)+($E128*U128)+($E129*U129)+($E131*U131))/($E133)</f>
        <v>0</v>
      </c>
      <c r="V132" s="253" t="n">
        <f aca="false">(($E125*V125)+($E126*V126)+($E127*V127)+($E128*V128)+($E129*V129)+($E131*V131))/($E133)</f>
        <v>-4.89100490196078</v>
      </c>
      <c r="W132" s="251" t="n">
        <f aca="false">(($E125*W125)+($E126*W126)+($E127*W127)+($E128*W128)+($E129*W129)+($E131*W131))/($E133)</f>
        <v>13.6222307352941</v>
      </c>
      <c r="X132" s="251" t="n">
        <f aca="false">(($E125*X125)+($E126*X126)+($E127*X127)+($E128*X128)+($E129*X129)+($E131*X131))/($E133)</f>
        <v>6.51</v>
      </c>
      <c r="Y132" s="251" t="n">
        <f aca="false">(($E125*Y125)+($E126*Y126)+($E127*Y127)+($E128*Y128)+($E129*Y129)+($E131*Y131))/($E133)</f>
        <v>0.0160729411764706</v>
      </c>
      <c r="Z132" s="251" t="n">
        <f aca="false">(($E125*Z125)+($E126*Z126)+($E127*Z127)+($E128*Z128)+($E129*Z129)+($E131*Z131))/($E133)</f>
        <v>0.694416666666667</v>
      </c>
      <c r="AA132" s="251" t="n">
        <f aca="false">(($E125*AA125)+($E126*AA126)+($E127*AA127)+($E128*AA128)+($E129*AA129)+($E131*AA131))/($E133)</f>
        <v>0</v>
      </c>
      <c r="AB132" s="251" t="n">
        <f aca="false">(($E125*AB125)+($E126*AB126)+($E127*AB127)+($E128*AB128)+($E129*AB129)+($E131*AB131))/($E133)</f>
        <v>2.11372549019608</v>
      </c>
      <c r="AC132" s="253" t="n">
        <f aca="false">SUM(AC125:AC131)/$E133</f>
        <v>4.43137254901961</v>
      </c>
      <c r="AD132" s="251" t="n">
        <f aca="false">SUM(AD125:AD131)/$E133</f>
        <v>27.366568627451</v>
      </c>
      <c r="AE132" s="251" t="n">
        <f aca="false">SUM(AE125:AE131)/$E133</f>
        <v>10.3941176470588</v>
      </c>
      <c r="AF132" s="251" t="n">
        <f aca="false">SUM(AF125:AF131)/$E133</f>
        <v>0.0207</v>
      </c>
      <c r="AG132" s="251" t="n">
        <f aca="false">SUM(AG125:AG131)/$E133</f>
        <v>1.11106666666667</v>
      </c>
      <c r="AH132" s="251" t="n">
        <f aca="false">SUM(AH125:AH131)/$E133</f>
        <v>0</v>
      </c>
      <c r="AI132" s="251" t="n">
        <f aca="false">SUM(AI125:AI131)/$E133</f>
        <v>2.11372549019608</v>
      </c>
      <c r="AJ132" s="252" t="n">
        <f aca="false">SUM(AJ125:AJ131)/$E133</f>
        <v>9.59046568627451</v>
      </c>
      <c r="AK132" s="251" t="n">
        <f aca="false">SUM(AK125:AK131)/$E133</f>
        <v>2.38513102941176</v>
      </c>
      <c r="AL132" s="251" t="n">
        <f aca="false">SUM(AL125:AL131)/$E133</f>
        <v>11.4695009803922</v>
      </c>
      <c r="AM132" s="251" t="n">
        <f aca="false">SUM(AM125:AM131)/$E133</f>
        <v>3.72</v>
      </c>
      <c r="AN132" s="251" t="n">
        <f aca="false">SUM(AN125:AN131)/$E133</f>
        <v>0.00414</v>
      </c>
      <c r="AO132" s="251" t="n">
        <f aca="false">SUM(AO125:AO131)/$E133</f>
        <v>1.11106666666667</v>
      </c>
      <c r="AP132" s="251" t="n">
        <f aca="false">SUM(AP125:AP131)/$E133</f>
        <v>0</v>
      </c>
      <c r="AQ132" s="251" t="n">
        <f aca="false">SUM(AQ125:AQ131)/$E133</f>
        <v>0</v>
      </c>
      <c r="AR132" s="252" t="n">
        <f aca="false">SUM(AR125:AR131)/$E133</f>
        <v>-5.1590931372549</v>
      </c>
      <c r="AS132" s="251" t="n">
        <f aca="false">SUM(AS125:AS131)/$E133</f>
        <v>13.5119366176471</v>
      </c>
      <c r="AT132" s="251" t="n">
        <f aca="false">SUM(AT125:AT131)/$E133</f>
        <v>6.67411764705882</v>
      </c>
      <c r="AU132" s="251" t="n">
        <f aca="false">SUM(AU125:AU131)/$E133</f>
        <v>0.01656</v>
      </c>
      <c r="AV132" s="251" t="n">
        <f aca="false">SUM(AV125:AV131)/$E133</f>
        <v>0</v>
      </c>
      <c r="AW132" s="251" t="n">
        <f aca="false">SUM(AW125:AW131)/$E133</f>
        <v>0</v>
      </c>
      <c r="AX132" s="251" t="n">
        <f aca="false">SUM(AX125:AX131)/$E133</f>
        <v>2.11372549019608</v>
      </c>
      <c r="AY132" s="254" t="n">
        <f aca="false">SUM(AY125:AY131)/$E133</f>
        <v>229</v>
      </c>
      <c r="AZ132" s="255" t="n">
        <f aca="false">SUM(AZ125:AZ131)/$E133</f>
        <v>93</v>
      </c>
      <c r="BA132" s="256" t="n">
        <f aca="false">SUM(BA125:BA131)/$E133</f>
        <v>0.207</v>
      </c>
      <c r="BB132" s="253" t="n">
        <f aca="false">SUM(BB125:BB131)/$E133</f>
        <v>-1.69742647058824</v>
      </c>
      <c r="BC132" s="257" t="n">
        <f aca="false">SUM(BC125:BC131)/$E133</f>
        <v>0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</row>
    <row r="133" customFormat="false" ht="13.5" hidden="false" customHeight="true" outlineLevel="0" collapsed="false">
      <c r="A133" s="2"/>
      <c r="B133" s="290"/>
      <c r="C133" s="259" t="s">
        <v>73</v>
      </c>
      <c r="D133" s="291" t="n">
        <f aca="false">SUM(D125:D131)</f>
        <v>1</v>
      </c>
      <c r="E133" s="292" t="n">
        <f aca="false">SUM(E125:E131)</f>
        <v>5100</v>
      </c>
      <c r="F133" s="266"/>
      <c r="G133" s="266"/>
      <c r="H133" s="266"/>
      <c r="I133" s="266"/>
      <c r="J133" s="266"/>
      <c r="K133" s="266"/>
      <c r="L133" s="266"/>
      <c r="M133" s="269"/>
      <c r="N133" s="268"/>
      <c r="O133" s="266"/>
      <c r="P133" s="266"/>
      <c r="Q133" s="266"/>
      <c r="R133" s="266"/>
      <c r="S133" s="266"/>
      <c r="T133" s="266"/>
      <c r="U133" s="266"/>
      <c r="V133" s="265"/>
      <c r="W133" s="262"/>
      <c r="X133" s="262"/>
      <c r="Y133" s="262"/>
      <c r="Z133" s="262"/>
      <c r="AA133" s="262"/>
      <c r="AB133" s="262"/>
      <c r="AC133" s="267" t="n">
        <f aca="false">SUM(AC125:AC131)</f>
        <v>22600</v>
      </c>
      <c r="AD133" s="266" t="n">
        <f aca="false">SUM(AD125:AD131)</f>
        <v>139569.5</v>
      </c>
      <c r="AE133" s="266" t="n">
        <f aca="false">SUM(AE125:AE131)</f>
        <v>53010</v>
      </c>
      <c r="AF133" s="266" t="n">
        <f aca="false">SUM(AF125:AF131)</f>
        <v>105.57</v>
      </c>
      <c r="AG133" s="266" t="n">
        <f aca="false">SUM(AG125:AG131)</f>
        <v>5666.44</v>
      </c>
      <c r="AH133" s="266" t="n">
        <f aca="false">SUM(AH125:AH131)</f>
        <v>0</v>
      </c>
      <c r="AI133" s="266" t="n">
        <f aca="false">SUM(AI125:AI131)</f>
        <v>10780</v>
      </c>
      <c r="AJ133" s="268" t="n">
        <f aca="false">SUM(AJ125:AJ131)</f>
        <v>48911.375</v>
      </c>
      <c r="AK133" s="266" t="n">
        <f aca="false">SUM(AK125:AK131)</f>
        <v>12164.16825</v>
      </c>
      <c r="AL133" s="266" t="n">
        <f aca="false">SUM(AL125:AL131)</f>
        <v>58494.455</v>
      </c>
      <c r="AM133" s="266" t="n">
        <f aca="false">SUM(AM125:AM131)</f>
        <v>18972</v>
      </c>
      <c r="AN133" s="266" t="n">
        <f aca="false">SUM(AN125:AN131)</f>
        <v>21.114</v>
      </c>
      <c r="AO133" s="266" t="n">
        <f aca="false">SUM(AO125:AO131)</f>
        <v>5666.44</v>
      </c>
      <c r="AP133" s="266" t="n">
        <f aca="false">SUM(AP125:AP131)</f>
        <v>0</v>
      </c>
      <c r="AQ133" s="269" t="n">
        <f aca="false">SUM(AQ125:AQ131)</f>
        <v>0</v>
      </c>
      <c r="AR133" s="268" t="n">
        <f aca="false">SUM(AR125:AR131)</f>
        <v>-26311.375</v>
      </c>
      <c r="AS133" s="266" t="n">
        <f aca="false">SUM(AS125:AS131)</f>
        <v>68910.87675</v>
      </c>
      <c r="AT133" s="266" t="n">
        <f aca="false">SUM(AT125:AT131)</f>
        <v>34038</v>
      </c>
      <c r="AU133" s="266" t="n">
        <f aca="false">SUM(AU125:AU131)</f>
        <v>84.456</v>
      </c>
      <c r="AV133" s="266" t="n">
        <f aca="false">SUM(AV125:AV131)</f>
        <v>0</v>
      </c>
      <c r="AW133" s="266" t="n">
        <f aca="false">SUM(AW125:AW131)</f>
        <v>0</v>
      </c>
      <c r="AX133" s="293" t="n">
        <f aca="false">SUM(AX125:AX131)</f>
        <v>10780</v>
      </c>
      <c r="AY133" s="271" t="n">
        <f aca="false">SUM(AY125:AY131)</f>
        <v>1167900</v>
      </c>
      <c r="AZ133" s="272" t="n">
        <f aca="false">SUM(AZ125:AZ131)</f>
        <v>474300</v>
      </c>
      <c r="BA133" s="261" t="n">
        <f aca="false">SUM(BA125:BA131)</f>
        <v>1055.7</v>
      </c>
      <c r="BB133" s="273" t="n">
        <f aca="false">SUM(BB125:BB131)</f>
        <v>-8656.875</v>
      </c>
      <c r="BC133" s="274" t="n">
        <f aca="false">SUM(BC125:BC131)</f>
        <v>0</v>
      </c>
      <c r="BD133" s="2"/>
      <c r="BE133" s="2"/>
      <c r="BF133" s="2"/>
      <c r="BG133" s="2"/>
      <c r="BH133" s="2"/>
      <c r="BI133" s="2"/>
      <c r="BJ133" s="2"/>
      <c r="BK133" s="2"/>
      <c r="BL133" s="2"/>
      <c r="BM133" s="2"/>
    </row>
    <row r="134" customFormat="false" ht="13.5" hidden="false" customHeight="true" outlineLevel="0" collapsed="false">
      <c r="A134" s="2"/>
      <c r="B134" s="294"/>
      <c r="C134" s="295" t="s">
        <v>172</v>
      </c>
      <c r="D134" s="296"/>
      <c r="E134" s="297"/>
      <c r="F134" s="298" t="n">
        <f aca="false">((F60*$E$61)+(F69*$E$70)+(F78*$E$79)+(F87*$E$88)+(F96*$E$97)+(F105*$E$106)+(F114*$E$115)+(F123*$E$124)+(F132*$E$133))/($E$135)</f>
        <v>3.71734899029691</v>
      </c>
      <c r="G134" s="299" t="n">
        <f aca="false">((G60*$E$61)+(G69*$E$70)+(G78*$E$79)+(G87*$E$88)+(G96*$E$97)+(G105*$E$106)+(G114*$E$115)+(G123*$E$124)+(G132*$E$133))/($E$135)</f>
        <v>3.71734899029691</v>
      </c>
      <c r="H134" s="299" t="n">
        <f aca="false">((H60*$E$61)+(H69*$E$70)+(H78*$E$79)+(H87*$E$88)+(H96*$E$97)+(H105*$E$106)+(H114*$E$115)+(H123*$E$124)+(H132*$E$133))/($E$135)</f>
        <v>27.5240604722146</v>
      </c>
      <c r="I134" s="299" t="n">
        <f aca="false">((I60*$E$61)+(I69*$E$70)+(I78*$E$79)+(I87*$E$88)+(I96*$E$97)+(I105*$E$106)+(I114*$E$115)+(I123*$E$124)+(I132*$E$133))/($E$135)</f>
        <v>10.178831200752</v>
      </c>
      <c r="J134" s="299" t="n">
        <f aca="false">((J60*$E$61)+(J69*$E$70)+(J78*$E$79)+(J87*$E$88)+(J96*$E$97)+(J105*$E$106)+(J114*$E$115)+(J123*$E$124)+(J132*$E$133))/($E$135)</f>
        <v>0.0202067991666193</v>
      </c>
      <c r="K134" s="299" t="n">
        <f aca="false">((K60*$E$61)+(K69*$E$70)+(K78*$E$79)+(K87*$E$88)+(K96*$E$97)+(K105*$E$106)+(K114*$E$115)+(K123*$E$124)+(K132*$E$133))/($E$135)</f>
        <v>0.698412964608025</v>
      </c>
      <c r="L134" s="299" t="n">
        <f aca="false">((L60*$E$61)+(L69*$E$70)+(L78*$E$79)+(L87*$E$88)+(L96*$E$97)+(L105*$E$106)+(L114*$E$115)+(L123*$E$124)+(L132*$E$133))/($E$135)</f>
        <v>0</v>
      </c>
      <c r="M134" s="299" t="n">
        <f aca="false">((M60*$E$61)+(M69*$E$70)+(M78*$E$79)+(M87*$E$88)+(M96*$E$97)+(M105*$E$106)+(M114*$E$115)+(M123*$E$124)+(M132*$E$133))/($E$135)</f>
        <v>2.12588976739526</v>
      </c>
      <c r="N134" s="300" t="n">
        <f aca="false">((N60*$E$61)+(N69*$E$70)+(N78*$E$79)+(N87*$E$88)+(N96*$E$97)+(N105*$E$106)+(N114*$E$115)+(N123*$E$124)+(N132*$E$133))/($E$135)</f>
        <v>8.63650113260937</v>
      </c>
      <c r="O134" s="299" t="n">
        <f aca="false">((O60*$E$61)+(O69*$E$70)+(O78*$E$79)+(O87*$E$88)+(O96*$E$97)+(O105*$E$106)+(O114*$E$115)+(O123*$E$124)+(O132*$E$133))/($E$135)</f>
        <v>2.28792836896007</v>
      </c>
      <c r="P134" s="299" t="n">
        <f aca="false">((P60*$E$61)+(P69*$E$70)+(P78*$E$79)+(P87*$E$88)+(P96*$E$97)+(P105*$E$106)+(P114*$E$115)+(P123*$E$124)+(P132*$E$133))/($E$135)</f>
        <v>11.5355068027702</v>
      </c>
      <c r="Q134" s="299" t="n">
        <f aca="false">((Q60*$E$61)+(Q69*$E$70)+(Q78*$E$79)+(Q87*$E$88)+(Q96*$E$97)+(Q105*$E$106)+(Q114*$E$115)+(Q123*$E$124)+(Q132*$E$133))/($E$135)</f>
        <v>3.63136680675476</v>
      </c>
      <c r="R134" s="299" t="n">
        <f aca="false">((R60*$E$61)+(R69*$E$70)+(R78*$E$79)+(R87*$E$88)+(R96*$E$97)+(R105*$E$106)+(R114*$E$115)+(R123*$E$124)+(R132*$E$133))/($E$135)</f>
        <v>0.00404135983332385</v>
      </c>
      <c r="S134" s="299" t="n">
        <f aca="false">((S60*$E$61)+(S69*$E$70)+(S78*$E$79)+(S87*$E$88)+(S96*$E$97)+(S105*$E$106)+(S114*$E$115)+(S123*$E$124)+(S132*$E$133))/($E$135)</f>
        <v>0</v>
      </c>
      <c r="T134" s="299" t="n">
        <f aca="false">((T60*$E$61)+(T69*$E$70)+(T78*$E$79)+(T87*$E$88)+(T96*$E$97)+(T105*$E$106)+(T114*$E$115)+(T123*$E$124)+(T132*$E$133))/($E$135)</f>
        <v>0</v>
      </c>
      <c r="U134" s="301" t="n">
        <f aca="false">((U60*$E$61)+(U69*$E$70)+(U78*$E$79)+(U87*$E$88)+(U96*$E$97)+(U105*$E$106)+(U114*$E$115)+(U123*$E$124)+(U132*$E$133))/($E$135)</f>
        <v>0</v>
      </c>
      <c r="V134" s="266" t="n">
        <f aca="false">((V60*$E$61)+(V69*$E$70)+(V78*$E$79)+(V87*$E$88)+(V96*$E$97)+(V105*$E$106)+(V114*$E$115)+(V123*$E$124)+(V132*$E$133))/($E$135)</f>
        <v>-4.91915214231246</v>
      </c>
      <c r="W134" s="266" t="n">
        <f aca="false">((W60*$E$61)+(W69*$E$70)+(W78*$E$79)+(W87*$E$88)+(W96*$E$97)+(W105*$E$106)+(W114*$E$115)+(W123*$E$124)+(W132*$E$133))/($E$135)</f>
        <v>13.7006253004843</v>
      </c>
      <c r="X134" s="266" t="n">
        <f aca="false">((X60*$E$61)+(X69*$E$70)+(X78*$E$79)+(X87*$E$88)+(X96*$E$97)+(X105*$E$106)+(X114*$E$115)+(X123*$E$124)+(X132*$E$133))/($E$135)</f>
        <v>6.54746439399723</v>
      </c>
      <c r="Y134" s="266" t="n">
        <f aca="false">((Y60*$E$61)+(Y69*$E$70)+(Y78*$E$79)+(Y87*$E$88)+(Y96*$E$97)+(Y105*$E$106)+(Y114*$E$115)+(Y123*$E$124)+(Y132*$E$133))/($E$135)</f>
        <v>0.0161654393332954</v>
      </c>
      <c r="Z134" s="266" t="n">
        <f aca="false">((Z60*$E$61)+(Z69*$E$70)+(Z78*$E$79)+(Z87*$E$88)+(Z96*$E$97)+(Z105*$E$106)+(Z114*$E$115)+(Z123*$E$124)+(Z132*$E$133))/($E$135)</f>
        <v>0.698412964608025</v>
      </c>
      <c r="AA134" s="266" t="n">
        <f aca="false">((AA60*$E$61)+(AA69*$E$70)+(AA78*$E$79)+(AA87*$E$88)+(AA96*$E$97)+(AA105*$E$106)+(AA114*$E$115)+(AA123*$E$124)+(AA132*$E$133))/($E$135)</f>
        <v>0</v>
      </c>
      <c r="AB134" s="266" t="n">
        <f aca="false">((AB60*$E$61)+(AB69*$E$70)+(AB78*$E$79)+(AB87*$E$88)+(AB96*$E$97)+(AB105*$E$106)+(AB114*$E$115)+(AB123*$E$124)+(AB132*$E$133))/($E$135)</f>
        <v>2.12588976739526</v>
      </c>
      <c r="AC134" s="267"/>
      <c r="AD134" s="266"/>
      <c r="AE134" s="266"/>
      <c r="AF134" s="266"/>
      <c r="AG134" s="266"/>
      <c r="AH134" s="266"/>
      <c r="AI134" s="266"/>
      <c r="AJ134" s="266"/>
      <c r="AK134" s="266"/>
      <c r="AL134" s="266"/>
      <c r="AM134" s="266"/>
      <c r="AN134" s="266"/>
      <c r="AO134" s="266"/>
      <c r="AP134" s="266"/>
      <c r="AQ134" s="266"/>
      <c r="AR134" s="266"/>
      <c r="AS134" s="266"/>
      <c r="AT134" s="266"/>
      <c r="AU134" s="266"/>
      <c r="AV134" s="266"/>
      <c r="AW134" s="266"/>
      <c r="AX134" s="293"/>
      <c r="AY134" s="302"/>
      <c r="AZ134" s="302"/>
      <c r="BA134" s="292"/>
      <c r="BB134" s="303"/>
      <c r="BC134" s="304"/>
      <c r="BD134" s="2"/>
      <c r="BE134" s="2"/>
      <c r="BF134" s="2"/>
      <c r="BG134" s="2"/>
      <c r="BH134" s="2"/>
      <c r="BI134" s="2"/>
      <c r="BJ134" s="2"/>
      <c r="BK134" s="2"/>
      <c r="BL134" s="2"/>
      <c r="BM134" s="2"/>
    </row>
    <row r="135" customFormat="false" ht="13.5" hidden="false" customHeight="true" outlineLevel="0" collapsed="false">
      <c r="A135" s="2"/>
      <c r="B135" s="305"/>
      <c r="C135" s="306" t="s">
        <v>73</v>
      </c>
      <c r="D135" s="307" t="n">
        <f aca="false">SUM(D124,D133,D115,D106,D97,D88,D79,D70,D61)/9</f>
        <v>1</v>
      </c>
      <c r="E135" s="308" t="n">
        <f aca="false">SUM(E124,E133,E115,E106,E97,E88,E79,E70,E61)</f>
        <v>56660.4882</v>
      </c>
      <c r="F135" s="309"/>
      <c r="G135" s="310"/>
      <c r="H135" s="310"/>
      <c r="I135" s="310"/>
      <c r="J135" s="310"/>
      <c r="K135" s="310"/>
      <c r="L135" s="310"/>
      <c r="M135" s="310"/>
      <c r="N135" s="311"/>
      <c r="O135" s="310"/>
      <c r="P135" s="310"/>
      <c r="Q135" s="310"/>
      <c r="R135" s="310"/>
      <c r="S135" s="310"/>
      <c r="T135" s="310"/>
      <c r="U135" s="310"/>
      <c r="V135" s="311"/>
      <c r="W135" s="310"/>
      <c r="X135" s="310"/>
      <c r="Y135" s="310"/>
      <c r="Z135" s="310"/>
      <c r="AA135" s="310"/>
      <c r="AB135" s="310"/>
      <c r="AC135" s="12" t="n">
        <f aca="false">SUM(AC133,AC124,AC115,AC106,AC97,AC88,AC79,AC70,AC61)</f>
        <v>244376.8086</v>
      </c>
      <c r="AD135" s="312" t="n">
        <f aca="false">SUM(AD133,AD124,AD115,AD106,AD97,AD88,AD79,AD70,AD61)</f>
        <v>1559526.703602</v>
      </c>
      <c r="AE135" s="312" t="n">
        <f aca="false">SUM(AE133,AE124,AE115,AE106,AE97,AE88,AE79,AE70,AE61)</f>
        <v>589292.54514</v>
      </c>
      <c r="AF135" s="312" t="n">
        <f aca="false">SUM(AF133,AF124,AF115,AF106,AF97,AF88,AF79,AF70,AF61)</f>
        <v>1172.87210574</v>
      </c>
      <c r="AG135" s="312" t="n">
        <f aca="false">SUM(AG133,AG124,AG115,AG106,AG97,AG88,AG79,AG70,AG61)</f>
        <v>58696.6545399</v>
      </c>
      <c r="AH135" s="312" t="n">
        <f aca="false">SUM(AH133,AH124,AH115,AH106,AH97,AH88,AH79,AH70,AH61)</f>
        <v>0</v>
      </c>
      <c r="AI135" s="312" t="n">
        <f aca="false">SUM(AI133,AI124,AI115,AI106,AI97,AI88,AI79,AI70,AI61)</f>
        <v>120453.95208</v>
      </c>
      <c r="AJ135" s="12" t="n">
        <f aca="false">SUM(AJ133,AJ124,AJ115,AJ106,AJ97,AJ88,AJ79,AJ70,AJ61)</f>
        <v>535403.6205135</v>
      </c>
      <c r="AK135" s="312" t="n">
        <f aca="false">SUM(AK133,AK124,AK115,AK106,AK97,AK88,AK79,AK70,AK61)</f>
        <v>134697.638351907</v>
      </c>
      <c r="AL135" s="312" t="n">
        <f aca="false">SUM(AL133,AL124,AL115,AL106,AL97,AL88,AL79,AL70,AL61)</f>
        <v>653607.44707938</v>
      </c>
      <c r="AM135" s="312" t="n">
        <f aca="false">SUM(AM133,AM124,AM115,AM106,AM97,AM88,AM79,AM70,AM61)</f>
        <v>210777.016104</v>
      </c>
      <c r="AN135" s="312" t="n">
        <f aca="false">SUM(AN133,AN124,AN115,AN106,AN97,AN88,AN79,AN70,AN61)</f>
        <v>234.574421148</v>
      </c>
      <c r="AO135" s="312" t="n">
        <f aca="false">SUM(AO133,AO124,AO115,AO106,AO97,AO88,AO79,AO70,AO61)</f>
        <v>58696.6545399</v>
      </c>
      <c r="AP135" s="312" t="n">
        <f aca="false">SUM(AP133,AP124,AP115,AP106,AP97,AP88,AP79,AP70,AP61)</f>
        <v>0</v>
      </c>
      <c r="AQ135" s="312" t="n">
        <f aca="false">SUM(AQ133,AQ124,AQ115,AQ106,AQ97,AQ88,AQ79,AQ70,AQ61)</f>
        <v>0</v>
      </c>
      <c r="AR135" s="12" t="n">
        <f aca="false">SUM(AR133,AR124,AR115,AR106,AR97,AR88,AR79,AR70,AR61)</f>
        <v>-291026.8119135</v>
      </c>
      <c r="AS135" s="312" t="n">
        <f aca="false">SUM(AS133,AS124,AS115,AS106,AS97,AS88,AS79,AS70,AS61)</f>
        <v>771221.618170713</v>
      </c>
      <c r="AT135" s="312" t="n">
        <f aca="false">SUM(AT133,AT124,AT115,AT106,AT97,AT88,AT79,AT70,AT61)</f>
        <v>378515.529036</v>
      </c>
      <c r="AU135" s="312" t="n">
        <f aca="false">SUM(AU133,AU124,AU115,AU106,AU97,AU88,AU79,AU70,AU61)</f>
        <v>938.297684592</v>
      </c>
      <c r="AV135" s="312" t="n">
        <f aca="false">SUM(AV133,AV124,AV115,AV106,AV97,AV88,AV79,AV70,AV61)</f>
        <v>0</v>
      </c>
      <c r="AW135" s="312" t="n">
        <f aca="false">SUM(AW133,AW124,AW115,AW106,AW97,AW88,AW79,AW70,AW61)</f>
        <v>0</v>
      </c>
      <c r="AX135" s="63" t="n">
        <f aca="false">SUM(AX133,AX124,AX115,AX106,AX97,AX88,AX79,AX70,AX61)</f>
        <v>120453.95208</v>
      </c>
      <c r="AY135" s="313" t="n">
        <f aca="false">SUM(AY61,AY70,AY79,AY88,AY97,AY106,AY115,AY124,AY133)</f>
        <v>12975251.7978</v>
      </c>
      <c r="AZ135" s="313" t="n">
        <f aca="false">SUM(AZ61,AZ70,AZ79,AZ88,AZ97,AZ106,AZ115,AZ124,AZ133)</f>
        <v>5269425.4026</v>
      </c>
      <c r="BA135" s="313" t="n">
        <f aca="false">SUM(BA61,BA70,BA79,BA88,BA97,BA106,BA115,BA124,BA133)</f>
        <v>11728.7210574</v>
      </c>
      <c r="BB135" s="314" t="n">
        <f aca="false">SUM(BB61,BB70,BB79,BB88,BB97,BB106,BB115,BB124,BB133)</f>
        <v>-93758.3242515</v>
      </c>
      <c r="BC135" s="315" t="n">
        <f aca="false">SUM(BC61,BC70,BC79,BC88,BC97,BC106,BC115,BC124,BC133)</f>
        <v>0</v>
      </c>
      <c r="BD135" s="2"/>
      <c r="BE135" s="2"/>
      <c r="BF135" s="2"/>
      <c r="BG135" s="2"/>
      <c r="BH135" s="2"/>
      <c r="BI135" s="2"/>
      <c r="BJ135" s="2"/>
      <c r="BK135" s="2"/>
      <c r="BL135" s="2"/>
      <c r="BM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309" t="n">
        <f aca="false">AC135/$E$135</f>
        <v>4.31300217070844</v>
      </c>
      <c r="AD136" s="310" t="n">
        <f aca="false">AD135/$E$135</f>
        <v>27.5240604722146</v>
      </c>
      <c r="AE136" s="310" t="n">
        <f aca="false">AE135/$E$135</f>
        <v>10.4004141838651</v>
      </c>
      <c r="AF136" s="310" t="n">
        <f aca="false">AF135/$E$135</f>
        <v>0.0207</v>
      </c>
      <c r="AG136" s="310" t="n">
        <f aca="false">AG135/$E$135</f>
        <v>1.03593626536914</v>
      </c>
      <c r="AH136" s="310" t="n">
        <f aca="false">AH135/$E$135</f>
        <v>0</v>
      </c>
      <c r="AI136" s="310" t="n">
        <f aca="false">AI135/$E$135</f>
        <v>2.12588976739526</v>
      </c>
      <c r="AJ136" s="309" t="n">
        <f aca="false">AJ135/$E$135</f>
        <v>9.44932946259895</v>
      </c>
      <c r="AK136" s="310" t="n">
        <f aca="false">AK135/$E$135</f>
        <v>2.37727634602179</v>
      </c>
      <c r="AL136" s="310" t="n">
        <f aca="false">AL135/$E$135</f>
        <v>11.5355068027702</v>
      </c>
      <c r="AM136" s="310" t="n">
        <f aca="false">AM135/$E$135</f>
        <v>3.72</v>
      </c>
      <c r="AN136" s="310" t="n">
        <f aca="false">AN135/$E$135</f>
        <v>0.00414</v>
      </c>
      <c r="AO136" s="310" t="n">
        <f aca="false">AO135/$E$135</f>
        <v>1.03593626536914</v>
      </c>
      <c r="AP136" s="310" t="n">
        <f aca="false">AP135/$E$135</f>
        <v>0</v>
      </c>
      <c r="AQ136" s="310" t="n">
        <f aca="false">AQ135/$E$135</f>
        <v>0</v>
      </c>
      <c r="AR136" s="309" t="n">
        <f aca="false">AR135/$E$135</f>
        <v>-5.13632729189051</v>
      </c>
      <c r="AS136" s="310" t="n">
        <f aca="false">AS135/$E$135</f>
        <v>13.6112773234226</v>
      </c>
      <c r="AT136" s="310" t="n">
        <f aca="false">AT135/$E$135</f>
        <v>6.68041418386508</v>
      </c>
      <c r="AU136" s="310" t="n">
        <f aca="false">AU135/$E$135</f>
        <v>0.01656</v>
      </c>
      <c r="AV136" s="310" t="n">
        <f aca="false">AV135/$E$135</f>
        <v>0</v>
      </c>
      <c r="AW136" s="310" t="n">
        <f aca="false">AW135/$E$135</f>
        <v>0</v>
      </c>
      <c r="AX136" s="316" t="n">
        <f aca="false">AX135/$E$135</f>
        <v>2.12588976739526</v>
      </c>
      <c r="AY136" s="317" t="n">
        <f aca="false">AY135/$E$135</f>
        <v>229</v>
      </c>
      <c r="AZ136" s="317" t="n">
        <f aca="false">AZ135/$E$135</f>
        <v>93</v>
      </c>
      <c r="BA136" s="318" t="n">
        <f aca="false">BA135/$E$135</f>
        <v>0.207</v>
      </c>
      <c r="BB136" s="62"/>
      <c r="BC136" s="62"/>
      <c r="BD136" s="2"/>
      <c r="BE136" s="2"/>
      <c r="BF136" s="2"/>
      <c r="BG136" s="2"/>
      <c r="BH136" s="2"/>
      <c r="BI136" s="2"/>
      <c r="BJ136" s="2"/>
      <c r="BK136" s="2"/>
      <c r="BL136" s="2"/>
      <c r="BM136" s="2"/>
    </row>
    <row r="137" customFormat="false" ht="12.75" hidden="false" customHeight="true" outlineLevel="0" collapsed="false">
      <c r="A137" s="2"/>
      <c r="B137" s="143"/>
      <c r="C137" s="14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7"/>
      <c r="AB137" s="2"/>
      <c r="AC137" s="319" t="s">
        <v>173</v>
      </c>
      <c r="AD137" s="319"/>
      <c r="AE137" s="319"/>
      <c r="AF137" s="319"/>
      <c r="AG137" s="319"/>
      <c r="AH137" s="319"/>
      <c r="AI137" s="319"/>
      <c r="AJ137" s="319" t="s">
        <v>174</v>
      </c>
      <c r="AK137" s="319"/>
      <c r="AL137" s="319"/>
      <c r="AM137" s="319"/>
      <c r="AN137" s="319"/>
      <c r="AO137" s="319"/>
      <c r="AP137" s="319"/>
      <c r="AQ137" s="319"/>
      <c r="AR137" s="320" t="s">
        <v>25</v>
      </c>
      <c r="AS137" s="320"/>
      <c r="AT137" s="320"/>
      <c r="AU137" s="320"/>
      <c r="AV137" s="320"/>
      <c r="AW137" s="320"/>
      <c r="AX137" s="320"/>
      <c r="AY137" s="321" t="s">
        <v>175</v>
      </c>
      <c r="AZ137" s="321"/>
      <c r="BA137" s="321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</row>
    <row r="138" customFormat="false" ht="13.5" hidden="false" customHeight="true" outlineLevel="0" collapsed="false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2"/>
      <c r="Z138" s="2"/>
      <c r="AA138" s="2"/>
      <c r="AB138" s="2"/>
      <c r="AC138" s="322" t="n">
        <f aca="false">SUM(AC135:AI135)</f>
        <v>2573519.536</v>
      </c>
      <c r="AD138" s="322"/>
      <c r="AE138" s="322"/>
      <c r="AF138" s="322"/>
      <c r="AG138" s="322"/>
      <c r="AH138" s="322"/>
      <c r="AI138" s="322"/>
      <c r="AJ138" s="322" t="n">
        <f aca="false">SUM(AJ135:AQ135)</f>
        <v>1593416.95100983</v>
      </c>
      <c r="AK138" s="322"/>
      <c r="AL138" s="322"/>
      <c r="AM138" s="322"/>
      <c r="AN138" s="322"/>
      <c r="AO138" s="322"/>
      <c r="AP138" s="322"/>
      <c r="AQ138" s="322"/>
      <c r="AR138" s="323" t="n">
        <f aca="false">SUM(AR135:AX135)</f>
        <v>980102.585057805</v>
      </c>
      <c r="AS138" s="323"/>
      <c r="AT138" s="323"/>
      <c r="AU138" s="323"/>
      <c r="AV138" s="323"/>
      <c r="AW138" s="323"/>
      <c r="AX138" s="323"/>
      <c r="AY138" s="324" t="n">
        <f aca="false">SUM(AY135:BA135)</f>
        <v>18256405.92</v>
      </c>
      <c r="AZ138" s="324"/>
      <c r="BA138" s="324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</row>
    <row r="139" customFormat="false" ht="12.75" hidden="false" customHeight="true" outlineLevel="0" collapsed="false">
      <c r="A139" s="2"/>
      <c r="B139" s="4"/>
      <c r="C139" s="4"/>
      <c r="D139" s="101"/>
      <c r="E139" s="101"/>
      <c r="F139" s="101"/>
      <c r="G139" s="101"/>
      <c r="H139" s="48"/>
      <c r="I139" s="48"/>
      <c r="J139" s="100"/>
      <c r="K139" s="325"/>
      <c r="L139" s="325"/>
      <c r="M139" s="326"/>
      <c r="N139" s="48"/>
      <c r="O139" s="327"/>
      <c r="P139" s="325"/>
      <c r="Q139" s="325"/>
      <c r="R139" s="326"/>
      <c r="S139" s="48"/>
      <c r="T139" s="100"/>
      <c r="U139" s="325"/>
      <c r="V139" s="325"/>
      <c r="W139" s="326"/>
      <c r="X139" s="48"/>
      <c r="Y139" s="2"/>
      <c r="Z139" s="2"/>
      <c r="AA139" s="2"/>
      <c r="AB139" s="2"/>
      <c r="AC139" s="328" t="s">
        <v>176</v>
      </c>
      <c r="AD139" s="328"/>
      <c r="AE139" s="328"/>
      <c r="AF139" s="328"/>
      <c r="AG139" s="328"/>
      <c r="AH139" s="328"/>
      <c r="AI139" s="328"/>
      <c r="AJ139" s="328" t="s">
        <v>177</v>
      </c>
      <c r="AK139" s="328"/>
      <c r="AL139" s="328"/>
      <c r="AM139" s="328"/>
      <c r="AN139" s="328"/>
      <c r="AO139" s="328"/>
      <c r="AP139" s="328"/>
      <c r="AQ139" s="328"/>
      <c r="AR139" s="328" t="s">
        <v>177</v>
      </c>
      <c r="AS139" s="328"/>
      <c r="AT139" s="328"/>
      <c r="AU139" s="328"/>
      <c r="AV139" s="328"/>
      <c r="AW139" s="328"/>
      <c r="AX139" s="328"/>
      <c r="AY139" s="329" t="s">
        <v>178</v>
      </c>
      <c r="AZ139" s="329"/>
      <c r="BA139" s="329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</row>
    <row r="140" customFormat="false" ht="13.5" hidden="false" customHeight="true" outlineLevel="0" collapsed="false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91"/>
      <c r="V140" s="6"/>
      <c r="W140" s="2"/>
      <c r="X140" s="2"/>
      <c r="Y140" s="2"/>
      <c r="Z140" s="2"/>
      <c r="AA140" s="2"/>
      <c r="AB140" s="2"/>
      <c r="AC140" s="322" t="n">
        <f aca="false">AC138/D39</f>
        <v>46.06331319</v>
      </c>
      <c r="AD140" s="322"/>
      <c r="AE140" s="322"/>
      <c r="AF140" s="322"/>
      <c r="AG140" s="322"/>
      <c r="AH140" s="322"/>
      <c r="AI140" s="322"/>
      <c r="AJ140" s="322" t="n">
        <f aca="false">AJ138/D39</f>
        <v>28.5205000504721</v>
      </c>
      <c r="AK140" s="322"/>
      <c r="AL140" s="322"/>
      <c r="AM140" s="322"/>
      <c r="AN140" s="322"/>
      <c r="AO140" s="322"/>
      <c r="AP140" s="322"/>
      <c r="AQ140" s="322"/>
      <c r="AR140" s="322" t="n">
        <f aca="false">AR138/D39</f>
        <v>17.5428131405867</v>
      </c>
      <c r="AS140" s="322"/>
      <c r="AT140" s="322"/>
      <c r="AU140" s="322"/>
      <c r="AV140" s="322"/>
      <c r="AW140" s="322"/>
      <c r="AX140" s="322"/>
      <c r="AY140" s="330" t="n">
        <f aca="false">AR140/AC140</f>
        <v>0.380841323076933</v>
      </c>
      <c r="AZ140" s="330"/>
      <c r="BA140" s="330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</row>
    <row r="141" customFormat="false" ht="13.5" hidden="false" customHeight="true" outlineLevel="0" collapsed="false">
      <c r="A141" s="1" t="s">
        <v>179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</row>
    <row r="142" customFormat="false" ht="13.5" hidden="false" customHeight="true" outlineLevel="0" collapsed="false">
      <c r="A142" s="2"/>
      <c r="B142" s="99"/>
      <c r="C142" s="16" t="s">
        <v>145</v>
      </c>
      <c r="D142" s="16" t="s">
        <v>147</v>
      </c>
      <c r="E142" s="16" t="s">
        <v>148</v>
      </c>
      <c r="F142" s="17" t="s">
        <v>149</v>
      </c>
      <c r="G142" s="331"/>
      <c r="H142" s="33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</row>
    <row r="143" customFormat="false" ht="12.75" hidden="false" customHeight="true" outlineLevel="0" collapsed="false">
      <c r="A143" s="2"/>
      <c r="B143" s="99" t="s">
        <v>180</v>
      </c>
      <c r="C143" s="332" t="n">
        <v>42</v>
      </c>
      <c r="D143" s="332" t="n">
        <f aca="false">C143</f>
        <v>42</v>
      </c>
      <c r="E143" s="332" t="n">
        <f aca="false">D143</f>
        <v>42</v>
      </c>
      <c r="F143" s="333" t="n">
        <f aca="false">E143</f>
        <v>42</v>
      </c>
      <c r="G143" s="334" t="s">
        <v>181</v>
      </c>
      <c r="H143" s="334" t="s">
        <v>182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</row>
    <row r="144" customFormat="false" ht="12.75" hidden="false" customHeight="true" outlineLevel="0" collapsed="false">
      <c r="A144" s="2"/>
      <c r="B144" s="56" t="s">
        <v>183</v>
      </c>
      <c r="C144" s="335" t="n">
        <v>3</v>
      </c>
      <c r="D144" s="335" t="n">
        <f aca="false">C144</f>
        <v>3</v>
      </c>
      <c r="E144" s="335" t="n">
        <f aca="false">D144</f>
        <v>3</v>
      </c>
      <c r="F144" s="41" t="n">
        <f aca="false">E144</f>
        <v>3</v>
      </c>
      <c r="G144" s="334"/>
      <c r="H144" s="33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</row>
    <row r="145" customFormat="false" ht="12.75" hidden="false" customHeight="true" outlineLevel="0" collapsed="false">
      <c r="A145" s="2"/>
      <c r="B145" s="56" t="s">
        <v>184</v>
      </c>
      <c r="C145" s="336" t="n">
        <v>20</v>
      </c>
      <c r="D145" s="336" t="n">
        <f aca="false">C145</f>
        <v>20</v>
      </c>
      <c r="E145" s="336" t="n">
        <f aca="false">D145</f>
        <v>20</v>
      </c>
      <c r="F145" s="65" t="n">
        <f aca="false">E145</f>
        <v>20</v>
      </c>
      <c r="G145" s="334"/>
      <c r="H145" s="33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</row>
    <row r="146" customFormat="false" ht="13.5" hidden="false" customHeight="true" outlineLevel="0" collapsed="false">
      <c r="A146" s="2"/>
      <c r="B146" s="68" t="s">
        <v>185</v>
      </c>
      <c r="C146" s="337" t="n">
        <v>4.55</v>
      </c>
      <c r="D146" s="337" t="n">
        <f aca="false">C146</f>
        <v>4.55</v>
      </c>
      <c r="E146" s="337" t="n">
        <f aca="false">D146</f>
        <v>4.55</v>
      </c>
      <c r="F146" s="338" t="n">
        <v>5.92</v>
      </c>
      <c r="G146" s="334"/>
      <c r="H146" s="33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</row>
    <row r="147" customFormat="false" ht="12.75" hidden="false" customHeight="true" outlineLevel="0" collapsed="false">
      <c r="A147" s="2"/>
      <c r="B147" s="99" t="s">
        <v>186</v>
      </c>
      <c r="C147" s="339" t="n">
        <v>0.15</v>
      </c>
      <c r="D147" s="340" t="n">
        <f aca="false">C147</f>
        <v>0.15</v>
      </c>
      <c r="E147" s="340" t="n">
        <f aca="false">D147</f>
        <v>0.15</v>
      </c>
      <c r="F147" s="341" t="n">
        <f aca="false">E147</f>
        <v>0.15</v>
      </c>
      <c r="G147" s="334" t="s">
        <v>187</v>
      </c>
      <c r="H147" s="33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</row>
    <row r="148" customFormat="false" ht="13.5" hidden="false" customHeight="true" outlineLevel="0" collapsed="false">
      <c r="A148" s="2"/>
      <c r="B148" s="68" t="s">
        <v>188</v>
      </c>
      <c r="C148" s="337" t="n">
        <v>5.55</v>
      </c>
      <c r="D148" s="337" t="n">
        <f aca="false">C148</f>
        <v>5.55</v>
      </c>
      <c r="E148" s="337" t="n">
        <f aca="false">D148</f>
        <v>5.55</v>
      </c>
      <c r="F148" s="338" t="n">
        <v>16.64</v>
      </c>
      <c r="G148" s="334"/>
      <c r="H148" s="33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</row>
    <row r="149" customFormat="false" ht="12.75" hidden="false" customHeight="true" outlineLevel="0" collapsed="false">
      <c r="A149" s="2"/>
      <c r="B149" s="56" t="s">
        <v>189</v>
      </c>
      <c r="C149" s="336" t="n">
        <v>3</v>
      </c>
      <c r="D149" s="336" t="n">
        <f aca="false">C149</f>
        <v>3</v>
      </c>
      <c r="E149" s="336" t="n">
        <f aca="false">D149</f>
        <v>3</v>
      </c>
      <c r="F149" s="65" t="n">
        <f aca="false">E149</f>
        <v>3</v>
      </c>
      <c r="G149" s="334" t="s">
        <v>190</v>
      </c>
      <c r="H149" s="33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</row>
    <row r="150" customFormat="false" ht="12.75" hidden="false" customHeight="true" outlineLevel="0" collapsed="false">
      <c r="A150" s="2"/>
      <c r="B150" s="56" t="s">
        <v>191</v>
      </c>
      <c r="C150" s="336" t="n">
        <v>1</v>
      </c>
      <c r="D150" s="336" t="n">
        <f aca="false">C150</f>
        <v>1</v>
      </c>
      <c r="E150" s="336" t="n">
        <f aca="false">D150</f>
        <v>1</v>
      </c>
      <c r="F150" s="65" t="n">
        <f aca="false">E150</f>
        <v>1</v>
      </c>
      <c r="G150" s="334"/>
      <c r="H150" s="33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</row>
    <row r="151" customFormat="false" ht="13.5" hidden="false" customHeight="true" outlineLevel="0" collapsed="false">
      <c r="A151" s="2"/>
      <c r="B151" s="68" t="s">
        <v>192</v>
      </c>
      <c r="C151" s="342" t="n">
        <v>0.25</v>
      </c>
      <c r="D151" s="342" t="n">
        <f aca="false">C151</f>
        <v>0.25</v>
      </c>
      <c r="E151" s="342" t="n">
        <f aca="false">D151</f>
        <v>0.25</v>
      </c>
      <c r="F151" s="343" t="n">
        <f aca="false">E151</f>
        <v>0.25</v>
      </c>
      <c r="G151" s="334"/>
      <c r="H151" s="33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</row>
    <row r="152" customFormat="false" ht="13.5" hidden="false" customHeight="true" outlineLevel="0" collapsed="false">
      <c r="A152" s="2"/>
      <c r="B152" s="344" t="s">
        <v>193</v>
      </c>
      <c r="C152" s="345" t="n">
        <v>29.99</v>
      </c>
      <c r="D152" s="345" t="n">
        <f aca="false">C152</f>
        <v>29.99</v>
      </c>
      <c r="E152" s="345" t="n">
        <v>34.99</v>
      </c>
      <c r="F152" s="345" t="n">
        <v>44.95</v>
      </c>
      <c r="G152" s="346" t="s">
        <v>194</v>
      </c>
      <c r="H152" s="334" t="s">
        <v>80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</row>
    <row r="153" customFormat="false" ht="13.5" hidden="false" customHeight="true" outlineLevel="0" collapsed="false">
      <c r="A153" s="2"/>
      <c r="B153" s="344" t="s">
        <v>195</v>
      </c>
      <c r="C153" s="345" t="n">
        <v>19.95</v>
      </c>
      <c r="D153" s="345" t="n">
        <v>14.95</v>
      </c>
      <c r="E153" s="345" t="n">
        <v>9.95</v>
      </c>
      <c r="F153" s="347" t="n">
        <v>44.95</v>
      </c>
      <c r="G153" s="331" t="s">
        <v>106</v>
      </c>
      <c r="H153" s="33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</row>
    <row r="154" customFormat="false" ht="13.5" hidden="false" customHeight="true" outlineLevel="0" collapsed="false">
      <c r="A154" s="2"/>
      <c r="B154" s="68" t="s">
        <v>196</v>
      </c>
      <c r="C154" s="348" t="n">
        <v>0.05</v>
      </c>
      <c r="D154" s="349" t="s">
        <v>197</v>
      </c>
      <c r="E154" s="350" t="n">
        <v>0.1</v>
      </c>
      <c r="F154" s="349"/>
      <c r="G154" s="351"/>
      <c r="H154" s="34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</row>
    <row r="155" customFormat="false" ht="12.75" hidden="false" customHeight="true" outlineLevel="0" collapsed="false">
      <c r="A155" s="2"/>
      <c r="B155" s="99" t="s">
        <v>198</v>
      </c>
      <c r="C155" s="352" t="n">
        <v>300000000</v>
      </c>
      <c r="D155" s="13" t="s">
        <v>199</v>
      </c>
      <c r="E155" s="353" t="n">
        <f aca="false">0.8</f>
        <v>0.8</v>
      </c>
      <c r="F155" s="354" t="s">
        <v>200</v>
      </c>
      <c r="G155" s="354"/>
      <c r="H155" s="111" t="s">
        <v>201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</row>
    <row r="156" customFormat="false" ht="13.5" hidden="false" customHeight="true" outlineLevel="0" collapsed="false">
      <c r="A156" s="2"/>
      <c r="B156" s="68" t="s">
        <v>202</v>
      </c>
      <c r="C156" s="156" t="n">
        <f aca="false">C155*E155/H156</f>
        <v>53333333.33</v>
      </c>
      <c r="D156" s="86" t="s">
        <v>203</v>
      </c>
      <c r="E156" s="355" t="n">
        <v>0.05</v>
      </c>
      <c r="F156" s="356" t="n">
        <f aca="false">C156*E156</f>
        <v>2666666.667</v>
      </c>
      <c r="G156" s="356"/>
      <c r="H156" s="357" t="n">
        <v>4.5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</row>
    <row r="157" customFormat="false" ht="12.75" hidden="false" customHeight="true" outlineLevel="0" collapsed="false">
      <c r="A157" s="2"/>
      <c r="B157" s="99" t="s">
        <v>204</v>
      </c>
      <c r="C157" s="358" t="n">
        <v>0.8</v>
      </c>
      <c r="D157" s="358" t="n">
        <v>0.1</v>
      </c>
      <c r="E157" s="359" t="n">
        <v>0.1</v>
      </c>
      <c r="F157" s="360" t="s">
        <v>205</v>
      </c>
      <c r="G157" s="360"/>
      <c r="H157" s="36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</row>
    <row r="158" customFormat="false" ht="13.5" hidden="false" customHeight="true" outlineLevel="0" collapsed="false">
      <c r="A158" s="2"/>
      <c r="B158" s="68" t="s">
        <v>206</v>
      </c>
      <c r="C158" s="156" t="n">
        <f aca="false">C157*$F$156</f>
        <v>2133333.3336</v>
      </c>
      <c r="D158" s="156" t="n">
        <f aca="false">D157*$F$156</f>
        <v>266666.6667</v>
      </c>
      <c r="E158" s="289" t="n">
        <f aca="false">E157*$F$156</f>
        <v>266666.6667</v>
      </c>
      <c r="F158" s="362" t="n">
        <v>1000000</v>
      </c>
      <c r="G158" s="362"/>
      <c r="H158" s="36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</row>
    <row r="159" customFormat="false" ht="12.75" hidden="false" customHeight="true" outlineLevel="0" collapsed="false">
      <c r="A159" s="2"/>
      <c r="B159" s="99" t="s">
        <v>207</v>
      </c>
      <c r="C159" s="13"/>
      <c r="D159" s="13"/>
      <c r="E159" s="13"/>
      <c r="F159" s="1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</row>
    <row r="160" customFormat="false" ht="12.75" hidden="false" customHeight="true" outlineLevel="0" collapsed="false">
      <c r="A160" s="2"/>
      <c r="B160" s="20" t="s">
        <v>186</v>
      </c>
      <c r="C160" s="3" t="n">
        <f aca="false">C147*C153</f>
        <v>2.9925</v>
      </c>
      <c r="D160" s="3" t="n">
        <f aca="false">D147*D153</f>
        <v>2.2425</v>
      </c>
      <c r="E160" s="3" t="n">
        <f aca="false">E147*E153</f>
        <v>1.4925</v>
      </c>
      <c r="F160" s="238" t="n">
        <f aca="false">F147*F153</f>
        <v>6.7425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</row>
    <row r="161" customFormat="false" ht="12.75" hidden="false" customHeight="true" outlineLevel="0" collapsed="false">
      <c r="A161" s="2"/>
      <c r="B161" s="20" t="s">
        <v>208</v>
      </c>
      <c r="C161" s="3" t="n">
        <f aca="false">C148</f>
        <v>5.55</v>
      </c>
      <c r="D161" s="3" t="n">
        <f aca="false">D148</f>
        <v>5.55</v>
      </c>
      <c r="E161" s="3" t="n">
        <f aca="false">E148</f>
        <v>5.55</v>
      </c>
      <c r="F161" s="238" t="n">
        <f aca="false">F148</f>
        <v>16.64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 customFormat="false" ht="12.75" hidden="false" customHeight="true" outlineLevel="0" collapsed="false">
      <c r="A162" s="2"/>
      <c r="B162" s="20" t="s">
        <v>209</v>
      </c>
      <c r="C162" s="244" t="n">
        <f aca="false">SUM(C149:C151)/12</f>
        <v>0.354166666666667</v>
      </c>
      <c r="D162" s="244" t="n">
        <f aca="false">SUM(D149:D151)/12</f>
        <v>0.354166666666667</v>
      </c>
      <c r="E162" s="244" t="n">
        <f aca="false">SUM(E149:E151)/12</f>
        <v>0.354166666666667</v>
      </c>
      <c r="F162" s="364" t="n">
        <f aca="false">SUM(F149:F151)/12</f>
        <v>0.354166666666667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 customFormat="false" ht="13.5" hidden="false" customHeight="true" outlineLevel="0" collapsed="false">
      <c r="A163" s="2"/>
      <c r="B163" s="43" t="s">
        <v>77</v>
      </c>
      <c r="C163" s="88" t="n">
        <f aca="false">SUM(C160:C162)</f>
        <v>8.89666666666667</v>
      </c>
      <c r="D163" s="88" t="n">
        <f aca="false">SUM(D160:D162)</f>
        <v>8.14666666666667</v>
      </c>
      <c r="E163" s="88" t="n">
        <f aca="false">SUM(E160:E162)</f>
        <v>7.39666666666667</v>
      </c>
      <c r="F163" s="89" t="n">
        <f aca="false">SUM(F160:F162)</f>
        <v>23.7366666666667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customFormat="false" ht="13.5" hidden="false" customHeight="true" outlineLevel="0" collapsed="false">
      <c r="A164" s="2"/>
      <c r="B164" s="365" t="s">
        <v>210</v>
      </c>
      <c r="C164" s="366" t="n">
        <f aca="false">SUM(C143:C146)/12</f>
        <v>5.79583333333333</v>
      </c>
      <c r="D164" s="366" t="n">
        <f aca="false">SUM(D143:D146)/12</f>
        <v>5.79583333333333</v>
      </c>
      <c r="E164" s="366" t="n">
        <f aca="false">SUM(E143:E146)/12</f>
        <v>5.79583333333333</v>
      </c>
      <c r="F164" s="367" t="n">
        <f aca="false">SUM(F143:F146)/12</f>
        <v>5.91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customFormat="false" ht="13.5" hidden="false" customHeight="true" outlineLevel="0" collapsed="false">
      <c r="A165" s="2"/>
      <c r="B165" s="365" t="s">
        <v>211</v>
      </c>
      <c r="C165" s="366" t="n">
        <f aca="false">C163+C164</f>
        <v>14.6925</v>
      </c>
      <c r="D165" s="366" t="n">
        <f aca="false">D163+D164</f>
        <v>13.9425</v>
      </c>
      <c r="E165" s="366" t="n">
        <f aca="false">E163+E164</f>
        <v>13.1925</v>
      </c>
      <c r="F165" s="367" t="n">
        <f aca="false">F163+F164</f>
        <v>29.6466666666667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customFormat="false" ht="13.5" hidden="false" customHeight="true" outlineLevel="0" collapsed="false">
      <c r="A166" s="2"/>
      <c r="B166" s="365" t="s">
        <v>212</v>
      </c>
      <c r="C166" s="366" t="n">
        <f aca="false">C153-C165</f>
        <v>5.2575</v>
      </c>
      <c r="D166" s="366" t="n">
        <f aca="false">D153-D165</f>
        <v>1.0075</v>
      </c>
      <c r="E166" s="366" t="n">
        <f aca="false">E153-E165</f>
        <v>-3.2425</v>
      </c>
      <c r="F166" s="367" t="n">
        <f aca="false">F153-F165</f>
        <v>15.3033333333333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customFormat="false" ht="12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customFormat="false" ht="13.5" hidden="false" customHeight="true" outlineLevel="0" collapsed="false">
      <c r="A168" s="1" t="s">
        <v>213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customFormat="false" ht="12.75" hidden="false" customHeight="true" outlineLevel="0" collapsed="false">
      <c r="A169" s="2"/>
      <c r="B169" s="368"/>
      <c r="C169" s="137" t="s">
        <v>214</v>
      </c>
      <c r="D169" s="137" t="s">
        <v>197</v>
      </c>
      <c r="E169" s="13" t="s">
        <v>80</v>
      </c>
      <c r="F169" s="14" t="s">
        <v>215</v>
      </c>
      <c r="G169" s="108"/>
      <c r="H169" s="19" t="s">
        <v>216</v>
      </c>
      <c r="I169" s="369"/>
      <c r="J169" s="369"/>
      <c r="K169" s="370"/>
      <c r="L169" s="19" t="s">
        <v>31</v>
      </c>
      <c r="M169" s="16" t="s">
        <v>217</v>
      </c>
      <c r="N169" s="16" t="s">
        <v>28</v>
      </c>
      <c r="O169" s="17" t="s">
        <v>218</v>
      </c>
      <c r="P169" s="19" t="s">
        <v>34</v>
      </c>
      <c r="Q169" s="16" t="s">
        <v>217</v>
      </c>
      <c r="R169" s="16" t="s">
        <v>28</v>
      </c>
      <c r="S169" s="17" t="s">
        <v>178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 customFormat="false" ht="12.75" hidden="false" customHeight="true" outlineLevel="0" collapsed="false">
      <c r="A170" s="2"/>
      <c r="B170" s="20" t="s">
        <v>219</v>
      </c>
      <c r="C170" s="140" t="n">
        <v>100</v>
      </c>
      <c r="D170" s="140" t="n">
        <v>50</v>
      </c>
      <c r="E170" s="7" t="n">
        <f aca="false">J174</f>
        <v>3750</v>
      </c>
      <c r="F170" s="371" t="n">
        <f aca="false">I174</f>
        <v>3071.25</v>
      </c>
      <c r="G170" s="24"/>
      <c r="H170" s="56" t="s">
        <v>8</v>
      </c>
      <c r="I170" s="27" t="s">
        <v>217</v>
      </c>
      <c r="J170" s="27" t="s">
        <v>28</v>
      </c>
      <c r="K170" s="28" t="s">
        <v>218</v>
      </c>
      <c r="L170" s="56" t="s">
        <v>220</v>
      </c>
      <c r="M170" s="372" t="n">
        <v>23.89</v>
      </c>
      <c r="N170" s="2"/>
      <c r="O170" s="25"/>
      <c r="P170" s="56" t="s">
        <v>221</v>
      </c>
      <c r="Q170" s="373" t="n">
        <v>0</v>
      </c>
      <c r="R170" s="1"/>
      <c r="S170" s="374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 customFormat="false" ht="12.75" hidden="false" customHeight="true" outlineLevel="0" collapsed="false">
      <c r="A171" s="2"/>
      <c r="B171" s="20" t="s">
        <v>222</v>
      </c>
      <c r="C171" s="140" t="n">
        <v>150</v>
      </c>
      <c r="D171" s="140" t="n">
        <v>50</v>
      </c>
      <c r="E171" s="7" t="n">
        <f aca="false">N173</f>
        <v>44.95</v>
      </c>
      <c r="F171" s="371" t="n">
        <f aca="false">M173</f>
        <v>32.0375</v>
      </c>
      <c r="G171" s="24"/>
      <c r="H171" s="56" t="s">
        <v>223</v>
      </c>
      <c r="I171" s="373" t="n">
        <f aca="false">J171-(J171*K171)</f>
        <v>425</v>
      </c>
      <c r="J171" s="21" t="n">
        <v>500</v>
      </c>
      <c r="K171" s="55" t="n">
        <v>0.15</v>
      </c>
      <c r="L171" s="56" t="s">
        <v>224</v>
      </c>
      <c r="M171" s="373" t="n">
        <f aca="false">N173*M176</f>
        <v>2.2475</v>
      </c>
      <c r="N171" s="2"/>
      <c r="O171" s="25"/>
      <c r="P171" s="56" t="s">
        <v>224</v>
      </c>
      <c r="Q171" s="373" t="n">
        <v>0</v>
      </c>
      <c r="R171" s="1"/>
      <c r="S171" s="374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customFormat="false" ht="13.5" hidden="false" customHeight="true" outlineLevel="0" collapsed="false">
      <c r="A172" s="2"/>
      <c r="B172" s="43" t="s">
        <v>34</v>
      </c>
      <c r="C172" s="375" t="n">
        <v>125</v>
      </c>
      <c r="D172" s="375" t="n">
        <v>50</v>
      </c>
      <c r="E172" s="81" t="n">
        <f aca="false">R173</f>
        <v>0</v>
      </c>
      <c r="F172" s="376" t="n">
        <f aca="false">Q173</f>
        <v>0</v>
      </c>
      <c r="G172" s="24"/>
      <c r="H172" s="56" t="s">
        <v>225</v>
      </c>
      <c r="I172" s="373" t="n">
        <f aca="false">I176*I177</f>
        <v>2500</v>
      </c>
      <c r="J172" s="7" t="n">
        <f aca="false">I172*(1+K172)</f>
        <v>3250</v>
      </c>
      <c r="K172" s="55" t="n">
        <v>0.3</v>
      </c>
      <c r="L172" s="56" t="s">
        <v>226</v>
      </c>
      <c r="M172" s="377" t="n">
        <v>5.9</v>
      </c>
      <c r="N172" s="2"/>
      <c r="O172" s="25"/>
      <c r="P172" s="56" t="s">
        <v>226</v>
      </c>
      <c r="Q172" s="373" t="n">
        <v>0</v>
      </c>
      <c r="R172" s="1"/>
      <c r="S172" s="374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customFormat="false" ht="12.75" hidden="false" customHeight="true" outlineLevel="0" collapsed="false">
      <c r="A173" s="2"/>
      <c r="B173" s="378" t="s">
        <v>227</v>
      </c>
      <c r="C173" s="137" t="s">
        <v>228</v>
      </c>
      <c r="D173" s="110" t="s">
        <v>229</v>
      </c>
      <c r="E173" s="2"/>
      <c r="F173" s="2"/>
      <c r="G173" s="2"/>
      <c r="H173" s="56" t="s">
        <v>87</v>
      </c>
      <c r="I173" s="373" t="n">
        <f aca="false">(I171+I172)*K173</f>
        <v>146.25</v>
      </c>
      <c r="J173" s="7"/>
      <c r="K173" s="55" t="n">
        <v>0.05</v>
      </c>
      <c r="L173" s="56" t="s">
        <v>230</v>
      </c>
      <c r="M173" s="379" t="n">
        <f aca="false">SUM(M170:M172)</f>
        <v>32.0375</v>
      </c>
      <c r="N173" s="380" t="n">
        <v>44.95</v>
      </c>
      <c r="O173" s="374" t="n">
        <f aca="false">1-(M173/N173)</f>
        <v>0.2872636263</v>
      </c>
      <c r="P173" s="185" t="s">
        <v>230</v>
      </c>
      <c r="Q173" s="381" t="n">
        <v>0</v>
      </c>
      <c r="R173" s="62" t="n">
        <v>0</v>
      </c>
      <c r="S173" s="382" t="e">
        <f aca="false">1-(Q173/R173)</f>
        <v>#DIV/0!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customFormat="false" ht="13.5" hidden="false" customHeight="true" outlineLevel="0" collapsed="false">
      <c r="A174" s="2"/>
      <c r="B174" s="20" t="s">
        <v>231</v>
      </c>
      <c r="C174" s="383" t="n">
        <v>45</v>
      </c>
      <c r="D174" s="191" t="n">
        <v>5000</v>
      </c>
      <c r="E174" s="2"/>
      <c r="F174" s="2"/>
      <c r="G174" s="2"/>
      <c r="H174" s="68" t="s">
        <v>230</v>
      </c>
      <c r="I174" s="384" t="n">
        <f aca="false">SUM(I171:I173)</f>
        <v>3071.25</v>
      </c>
      <c r="J174" s="385" t="n">
        <f aca="false">SUM(J171:J172)</f>
        <v>3750</v>
      </c>
      <c r="K174" s="386" t="n">
        <f aca="false">1-(I174/J174)</f>
        <v>0.181</v>
      </c>
      <c r="L174" s="68"/>
      <c r="M174" s="86"/>
      <c r="N174" s="86"/>
      <c r="O174" s="69"/>
      <c r="P174" s="68"/>
      <c r="Q174" s="86"/>
      <c r="R174" s="86"/>
      <c r="S174" s="69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customFormat="false" ht="12.75" hidden="false" customHeight="true" outlineLevel="0" collapsed="false">
      <c r="A175" s="2"/>
      <c r="B175" s="20" t="s">
        <v>232</v>
      </c>
      <c r="C175" s="383" t="n">
        <v>45</v>
      </c>
      <c r="D175" s="3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 customFormat="false" ht="13.5" hidden="false" customHeight="true" outlineLevel="0" collapsed="false">
      <c r="A176" s="2"/>
      <c r="B176" s="43" t="s">
        <v>192</v>
      </c>
      <c r="C176" s="387" t="n">
        <v>45</v>
      </c>
      <c r="D176" s="75"/>
      <c r="E176" s="2"/>
      <c r="F176" s="2"/>
      <c r="G176" s="2"/>
      <c r="H176" s="2" t="s">
        <v>233</v>
      </c>
      <c r="I176" s="388" t="n">
        <v>100000</v>
      </c>
      <c r="J176" s="2"/>
      <c r="K176" s="2"/>
      <c r="L176" s="47" t="s">
        <v>234</v>
      </c>
      <c r="M176" s="38" t="n">
        <v>0.05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customFormat="false" ht="12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 t="s">
        <v>235</v>
      </c>
      <c r="I177" s="389" t="n">
        <v>0.025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 customFormat="false" ht="12.75" hidden="false" customHeight="true" outlineLevel="0" collapsed="false">
      <c r="A178" s="1" t="s">
        <v>236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 customFormat="false" ht="12.75" hidden="false" customHeight="true" outlineLevel="0" collapsed="false">
      <c r="A179" s="2"/>
      <c r="B179" s="4" t="s">
        <v>237</v>
      </c>
      <c r="C179" s="4" t="s">
        <v>238</v>
      </c>
      <c r="D179" s="4" t="s">
        <v>239</v>
      </c>
      <c r="E179" s="4" t="s">
        <v>240</v>
      </c>
      <c r="F179" s="47" t="s">
        <v>241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 customFormat="false" ht="12.75" hidden="false" customHeight="true" outlineLevel="0" collapsed="false">
      <c r="A180" s="2"/>
      <c r="B180" s="47" t="n">
        <v>1</v>
      </c>
      <c r="C180" s="37" t="n">
        <v>1000</v>
      </c>
      <c r="D180" s="101" t="s">
        <v>103</v>
      </c>
      <c r="E180" s="140"/>
      <c r="F180" s="38" t="n">
        <v>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 customFormat="false" ht="12.75" hidden="false" customHeight="true" outlineLevel="0" collapsed="false">
      <c r="A181" s="2"/>
      <c r="B181" s="47" t="n">
        <v>2</v>
      </c>
      <c r="C181" s="37" t="n">
        <v>1000</v>
      </c>
      <c r="D181" s="37" t="n">
        <v>1000</v>
      </c>
      <c r="E181" s="140"/>
      <c r="F181" s="38" t="n">
        <v>0.5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 customFormat="false" ht="12.75" hidden="false" customHeight="true" outlineLevel="0" collapsed="false">
      <c r="A182" s="2"/>
      <c r="B182" s="47" t="n">
        <v>3</v>
      </c>
      <c r="C182" s="4" t="s">
        <v>103</v>
      </c>
      <c r="D182" s="4" t="s">
        <v>103</v>
      </c>
      <c r="E182" s="140" t="n">
        <v>5</v>
      </c>
      <c r="F182" s="38" t="n">
        <v>0.5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</sheetData>
  <mergeCells count="36">
    <mergeCell ref="AI23:AJ23"/>
    <mergeCell ref="C28:E28"/>
    <mergeCell ref="F50:AB50"/>
    <mergeCell ref="AC50:AX50"/>
    <mergeCell ref="F51:M51"/>
    <mergeCell ref="N51:U51"/>
    <mergeCell ref="V51:AB51"/>
    <mergeCell ref="AC51:AI51"/>
    <mergeCell ref="AJ51:AQ51"/>
    <mergeCell ref="AR51:AX51"/>
    <mergeCell ref="AY51:BA51"/>
    <mergeCell ref="AC137:AI137"/>
    <mergeCell ref="AJ137:AQ137"/>
    <mergeCell ref="AR137:AX137"/>
    <mergeCell ref="AY137:BA137"/>
    <mergeCell ref="AC138:AI138"/>
    <mergeCell ref="AJ138:AQ138"/>
    <mergeCell ref="AR138:AX138"/>
    <mergeCell ref="AY138:BA138"/>
    <mergeCell ref="AC139:AI139"/>
    <mergeCell ref="AJ139:AQ139"/>
    <mergeCell ref="AR139:AX139"/>
    <mergeCell ref="AY139:BA139"/>
    <mergeCell ref="AC140:AI140"/>
    <mergeCell ref="AJ140:AQ140"/>
    <mergeCell ref="AR140:AX140"/>
    <mergeCell ref="AY140:BA140"/>
    <mergeCell ref="G143:G146"/>
    <mergeCell ref="H143:H151"/>
    <mergeCell ref="G147:G148"/>
    <mergeCell ref="G149:G151"/>
    <mergeCell ref="H152:H153"/>
    <mergeCell ref="F155:G155"/>
    <mergeCell ref="F156:G156"/>
    <mergeCell ref="F157:G157"/>
    <mergeCell ref="F158:G158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3.43"/>
    <col collapsed="false" customWidth="true" hidden="false" outlineLevel="0" max="3" min="3" style="0" width="9.29"/>
    <col collapsed="false" customWidth="true" hidden="false" outlineLevel="0" max="4" min="4" style="0" width="19.3"/>
    <col collapsed="false" customWidth="true" hidden="false" outlineLevel="0" max="5" min="5" style="0" width="15"/>
    <col collapsed="false" customWidth="true" hidden="false" outlineLevel="0" max="7" min="6" style="0" width="15.42"/>
    <col collapsed="false" customWidth="true" hidden="false" outlineLevel="0" max="8" min="8" style="0" width="1.58"/>
    <col collapsed="false" customWidth="true" hidden="false" outlineLevel="0" max="9" min="9" style="0" width="30.7"/>
    <col collapsed="false" customWidth="true" hidden="false" outlineLevel="0" max="10" min="10" style="0" width="10.71"/>
    <col collapsed="false" customWidth="true" hidden="false" outlineLevel="0" max="11" min="11" style="0" width="9.86"/>
    <col collapsed="false" customWidth="true" hidden="false" outlineLevel="0" max="12" min="12" style="0" width="18.43"/>
    <col collapsed="false" customWidth="true" hidden="false" outlineLevel="0" max="13" min="13" style="0" width="18"/>
    <col collapsed="false" customWidth="true" hidden="false" outlineLevel="0" max="14" min="14" style="0" width="18.43"/>
    <col collapsed="false" customWidth="true" hidden="false" outlineLevel="0" max="15" min="15" style="0" width="18.86"/>
    <col collapsed="false" customWidth="true" hidden="false" outlineLevel="0" max="16" min="16" style="0" width="1"/>
    <col collapsed="false" customWidth="true" hidden="false" outlineLevel="0" max="17" min="17" style="0" width="31.57"/>
    <col collapsed="false" customWidth="true" hidden="false" outlineLevel="0" max="18" min="18" style="0" width="9.43"/>
    <col collapsed="false" customWidth="true" hidden="false" outlineLevel="0" max="19" min="19" style="0" width="9.71"/>
    <col collapsed="false" customWidth="true" hidden="false" outlineLevel="0" max="21" min="20" style="0" width="17.29"/>
    <col collapsed="false" customWidth="true" hidden="false" outlineLevel="0" max="23" min="22" style="0" width="18.43"/>
    <col collapsed="false" customWidth="true" hidden="false" outlineLevel="0" max="24" min="24" style="0" width="1.13"/>
    <col collapsed="false" customWidth="true" hidden="false" outlineLevel="0" max="25" min="25" style="0" width="26.71"/>
    <col collapsed="false" customWidth="true" hidden="false" outlineLevel="0" max="27" min="26" style="0" width="7.57"/>
    <col collapsed="false" customWidth="true" hidden="false" outlineLevel="0" max="28" min="28" style="0" width="16.29"/>
    <col collapsed="false" customWidth="true" hidden="false" outlineLevel="0" max="29" min="29" style="0" width="15.57"/>
    <col collapsed="false" customWidth="true" hidden="false" outlineLevel="0" max="30" min="30" style="0" width="16"/>
    <col collapsed="false" customWidth="true" hidden="false" outlineLevel="0" max="31" min="31" style="0" width="16.29"/>
    <col collapsed="false" customWidth="true" hidden="false" outlineLevel="0" max="41" min="32" style="0" width="9"/>
    <col collapsed="false" customWidth="true" hidden="false" outlineLevel="0" max="1025" min="42" style="0" width="14.43"/>
  </cols>
  <sheetData>
    <row r="1" customFormat="false" ht="13.5" hidden="false" customHeight="true" outlineLevel="0" collapsed="false">
      <c r="A1" s="390" t="s">
        <v>242</v>
      </c>
      <c r="B1" s="390"/>
      <c r="C1" s="390"/>
      <c r="D1" s="390"/>
      <c r="E1" s="390"/>
      <c r="F1" s="390"/>
      <c r="G1" s="390"/>
      <c r="H1" s="2"/>
      <c r="I1" s="390" t="s">
        <v>243</v>
      </c>
      <c r="J1" s="390"/>
      <c r="K1" s="390"/>
      <c r="L1" s="390"/>
      <c r="M1" s="390"/>
      <c r="N1" s="390"/>
      <c r="O1" s="390"/>
      <c r="P1" s="2"/>
      <c r="Q1" s="390" t="s">
        <v>244</v>
      </c>
      <c r="R1" s="390"/>
      <c r="S1" s="390"/>
      <c r="T1" s="390"/>
      <c r="U1" s="390"/>
      <c r="V1" s="390"/>
      <c r="W1" s="390"/>
      <c r="X1" s="2"/>
      <c r="Y1" s="390" t="s">
        <v>245</v>
      </c>
      <c r="Z1" s="390"/>
      <c r="AA1" s="390"/>
      <c r="AB1" s="390"/>
      <c r="AC1" s="390"/>
      <c r="AD1" s="390"/>
      <c r="AE1" s="390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12.75" hidden="false" customHeight="true" outlineLevel="0" collapsed="false">
      <c r="A2" s="18" t="s">
        <v>0</v>
      </c>
      <c r="B2" s="18"/>
      <c r="C2" s="18"/>
      <c r="D2" s="18"/>
      <c r="E2" s="18"/>
      <c r="F2" s="18"/>
      <c r="G2" s="18"/>
      <c r="H2" s="2"/>
      <c r="I2" s="18" t="str">
        <f aca="false">A2</f>
        <v>Entity 1</v>
      </c>
      <c r="J2" s="18"/>
      <c r="K2" s="18"/>
      <c r="L2" s="18"/>
      <c r="M2" s="18"/>
      <c r="N2" s="18"/>
      <c r="O2" s="18"/>
      <c r="P2" s="2"/>
      <c r="Q2" s="18" t="str">
        <f aca="false">I2</f>
        <v>Entity 1</v>
      </c>
      <c r="R2" s="18"/>
      <c r="S2" s="18"/>
      <c r="T2" s="18"/>
      <c r="U2" s="18"/>
      <c r="V2" s="18"/>
      <c r="W2" s="18"/>
      <c r="X2" s="2"/>
      <c r="Y2" s="18" t="str">
        <f aca="false">Q2</f>
        <v>Entity 1</v>
      </c>
      <c r="Z2" s="18"/>
      <c r="AA2" s="18"/>
      <c r="AB2" s="18"/>
      <c r="AC2" s="18"/>
      <c r="AD2" s="18"/>
      <c r="AE2" s="18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2.75" hidden="false" customHeight="true" outlineLevel="0" collapsed="false">
      <c r="A3" s="29" t="s">
        <v>246</v>
      </c>
      <c r="B3" s="29"/>
      <c r="C3" s="29"/>
      <c r="D3" s="29"/>
      <c r="E3" s="29"/>
      <c r="F3" s="29"/>
      <c r="G3" s="29"/>
      <c r="H3" s="2"/>
      <c r="I3" s="29" t="str">
        <f aca="false">A3</f>
        <v>Customer Revenue and Costs</v>
      </c>
      <c r="J3" s="29"/>
      <c r="K3" s="29"/>
      <c r="L3" s="29"/>
      <c r="M3" s="29"/>
      <c r="N3" s="29"/>
      <c r="O3" s="29"/>
      <c r="P3" s="2"/>
      <c r="Q3" s="29" t="str">
        <f aca="false">I3</f>
        <v>Customer Revenue and Costs</v>
      </c>
      <c r="R3" s="29"/>
      <c r="S3" s="29"/>
      <c r="T3" s="29"/>
      <c r="U3" s="29"/>
      <c r="V3" s="29"/>
      <c r="W3" s="29"/>
      <c r="X3" s="2"/>
      <c r="Y3" s="29" t="str">
        <f aca="false">Q3</f>
        <v>Customer Revenue and Costs</v>
      </c>
      <c r="Z3" s="29"/>
      <c r="AA3" s="29"/>
      <c r="AB3" s="29"/>
      <c r="AC3" s="29"/>
      <c r="AD3" s="29"/>
      <c r="AE3" s="29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2.75" hidden="false" customHeight="true" outlineLevel="0" collapsed="false">
      <c r="A4" s="29" t="s">
        <v>247</v>
      </c>
      <c r="B4" s="29"/>
      <c r="C4" s="29"/>
      <c r="D4" s="29"/>
      <c r="E4" s="29"/>
      <c r="F4" s="29"/>
      <c r="G4" s="29"/>
      <c r="H4" s="2"/>
      <c r="I4" s="29" t="s">
        <v>247</v>
      </c>
      <c r="J4" s="29"/>
      <c r="K4" s="29"/>
      <c r="L4" s="29"/>
      <c r="M4" s="29"/>
      <c r="N4" s="29"/>
      <c r="O4" s="29"/>
      <c r="P4" s="2"/>
      <c r="Q4" s="29" t="s">
        <v>247</v>
      </c>
      <c r="R4" s="29"/>
      <c r="S4" s="29"/>
      <c r="T4" s="29"/>
      <c r="U4" s="29"/>
      <c r="V4" s="29"/>
      <c r="W4" s="29"/>
      <c r="X4" s="2"/>
      <c r="Y4" s="29" t="s">
        <v>247</v>
      </c>
      <c r="Z4" s="29"/>
      <c r="AA4" s="29"/>
      <c r="AB4" s="29"/>
      <c r="AC4" s="29"/>
      <c r="AD4" s="29"/>
      <c r="AE4" s="29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customFormat="false" ht="12.75" hidden="false" customHeight="true" outlineLevel="0" collapsed="false">
      <c r="A5" s="56"/>
      <c r="B5" s="2"/>
      <c r="C5" s="2"/>
      <c r="D5" s="93" t="str">
        <f aca="false">"Assumes a customer growth rate of "&amp;(Inputs!E11-1)*100&amp;"%"</f>
        <v>Assumes a customer growth rate of 50%</v>
      </c>
      <c r="E5" s="93"/>
      <c r="F5" s="93"/>
      <c r="G5" s="93"/>
      <c r="H5" s="2"/>
      <c r="I5" s="56"/>
      <c r="J5" s="2"/>
      <c r="K5" s="2"/>
      <c r="L5" s="93" t="str">
        <f aca="false">"Assumes a customer growth rate of "&amp;(Inputs!E11-1)*100&amp;"%"</f>
        <v>Assumes a customer growth rate of 50%</v>
      </c>
      <c r="M5" s="93"/>
      <c r="N5" s="93"/>
      <c r="O5" s="93"/>
      <c r="P5" s="2"/>
      <c r="Q5" s="391"/>
      <c r="R5" s="2"/>
      <c r="S5" s="148"/>
      <c r="T5" s="93" t="str">
        <f aca="false">L5</f>
        <v>Assumes a customer growth rate of 50%</v>
      </c>
      <c r="U5" s="93"/>
      <c r="V5" s="93"/>
      <c r="W5" s="93"/>
      <c r="X5" s="148"/>
      <c r="Y5" s="391"/>
      <c r="Z5" s="2"/>
      <c r="AA5" s="148"/>
      <c r="AB5" s="93" t="str">
        <f aca="false">T5</f>
        <v>Assumes a customer growth rate of 50%</v>
      </c>
      <c r="AC5" s="93"/>
      <c r="AD5" s="93"/>
      <c r="AE5" s="93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customFormat="false" ht="12.75" hidden="false" customHeight="true" outlineLevel="0" collapsed="false">
      <c r="A6" s="185" t="s">
        <v>248</v>
      </c>
      <c r="B6" s="1"/>
      <c r="C6" s="1"/>
      <c r="D6" s="27" t="s">
        <v>249</v>
      </c>
      <c r="E6" s="27" t="s">
        <v>250</v>
      </c>
      <c r="F6" s="27" t="s">
        <v>251</v>
      </c>
      <c r="G6" s="28" t="s">
        <v>252</v>
      </c>
      <c r="H6" s="2"/>
      <c r="I6" s="185" t="str">
        <f aca="false">A6</f>
        <v>Customers</v>
      </c>
      <c r="J6" s="1"/>
      <c r="K6" s="1"/>
      <c r="L6" s="27" t="str">
        <f aca="false">D6</f>
        <v>Year 1</v>
      </c>
      <c r="M6" s="27" t="str">
        <f aca="false">E6</f>
        <v>Year 2</v>
      </c>
      <c r="N6" s="27" t="str">
        <f aca="false">F6</f>
        <v>Year 3</v>
      </c>
      <c r="O6" s="28" t="str">
        <f aca="false">G6</f>
        <v>Year 4</v>
      </c>
      <c r="P6" s="2"/>
      <c r="Q6" s="185" t="str">
        <f aca="false">I6</f>
        <v>Customers</v>
      </c>
      <c r="R6" s="2"/>
      <c r="S6" s="2"/>
      <c r="T6" s="27" t="str">
        <f aca="false">L6</f>
        <v>Year 1</v>
      </c>
      <c r="U6" s="27" t="str">
        <f aca="false">M6</f>
        <v>Year 2</v>
      </c>
      <c r="V6" s="27" t="str">
        <f aca="false">N6</f>
        <v>Year 3</v>
      </c>
      <c r="W6" s="28" t="str">
        <f aca="false">O6</f>
        <v>Year 4</v>
      </c>
      <c r="X6" s="2"/>
      <c r="Y6" s="185" t="str">
        <f aca="false">Q6</f>
        <v>Customers</v>
      </c>
      <c r="Z6" s="2"/>
      <c r="AA6" s="2"/>
      <c r="AB6" s="27" t="str">
        <f aca="false">T6</f>
        <v>Year 1</v>
      </c>
      <c r="AC6" s="27" t="str">
        <f aca="false">U6</f>
        <v>Year 2</v>
      </c>
      <c r="AD6" s="27" t="str">
        <f aca="false">V6</f>
        <v>Year 3</v>
      </c>
      <c r="AE6" s="28" t="str">
        <f aca="false">W6</f>
        <v>Year 4</v>
      </c>
      <c r="AF6" s="2"/>
      <c r="AG6" s="2"/>
      <c r="AH6" s="2"/>
      <c r="AI6" s="2"/>
      <c r="AJ6" s="2"/>
      <c r="AK6" s="2"/>
      <c r="AL6" s="2"/>
      <c r="AM6" s="2"/>
      <c r="AN6" s="2"/>
      <c r="AO6" s="2"/>
    </row>
    <row r="7" customFormat="false" ht="12.75" hidden="false" customHeight="true" outlineLevel="0" collapsed="false">
      <c r="A7" s="20" t="str">
        <f aca="false">Inputs!B30</f>
        <v>Brand 1</v>
      </c>
      <c r="B7" s="2"/>
      <c r="C7" s="2"/>
      <c r="D7" s="5" t="n">
        <f aca="false">Inputs!D30</f>
        <v>15000</v>
      </c>
      <c r="E7" s="5" t="n">
        <f aca="false">D7*Inputs!$E$11-Inputs!$E$9*D7</f>
        <v>21750</v>
      </c>
      <c r="F7" s="5" t="n">
        <f aca="false">E7*Inputs!$E$11-Inputs!$E$9*E7</f>
        <v>31537.5</v>
      </c>
      <c r="G7" s="230" t="n">
        <f aca="false">F7*Inputs!$E$11-Inputs!$E$9*F7</f>
        <v>45729.375</v>
      </c>
      <c r="H7" s="2"/>
      <c r="I7" s="20" t="str">
        <f aca="false">A7</f>
        <v>Brand 1</v>
      </c>
      <c r="J7" s="2"/>
      <c r="K7" s="2"/>
      <c r="L7" s="5" t="n">
        <f aca="false">Inputs!D30</f>
        <v>15000</v>
      </c>
      <c r="M7" s="5" t="n">
        <f aca="false">L7*Inputs!$E$11-Inputs!$E$9*L7</f>
        <v>21750</v>
      </c>
      <c r="N7" s="5" t="n">
        <f aca="false">M7*Inputs!$E$11-Inputs!$E$9*M7</f>
        <v>31537.5</v>
      </c>
      <c r="O7" s="230" t="n">
        <f aca="false">N7*Inputs!$E$11-Inputs!$E$9*N7</f>
        <v>45729.375</v>
      </c>
      <c r="P7" s="2"/>
      <c r="Q7" s="20" t="str">
        <f aca="false">I7</f>
        <v>Brand 1</v>
      </c>
      <c r="R7" s="2"/>
      <c r="S7" s="2"/>
      <c r="T7" s="5" t="n">
        <f aca="false">L7</f>
        <v>15000</v>
      </c>
      <c r="U7" s="5" t="n">
        <f aca="false">M7</f>
        <v>21750</v>
      </c>
      <c r="V7" s="5" t="n">
        <f aca="false">N7</f>
        <v>31537.5</v>
      </c>
      <c r="W7" s="230" t="n">
        <f aca="false">O7</f>
        <v>45729.375</v>
      </c>
      <c r="X7" s="2"/>
      <c r="Y7" s="20" t="str">
        <f aca="false">Q7</f>
        <v>Brand 1</v>
      </c>
      <c r="Z7" s="2"/>
      <c r="AA7" s="2"/>
      <c r="AB7" s="5" t="n">
        <f aca="false">T7</f>
        <v>15000</v>
      </c>
      <c r="AC7" s="5" t="n">
        <f aca="false">U7</f>
        <v>21750</v>
      </c>
      <c r="AD7" s="5" t="n">
        <f aca="false">V7</f>
        <v>31537.5</v>
      </c>
      <c r="AE7" s="230" t="n">
        <f aca="false">W7</f>
        <v>45729.375</v>
      </c>
      <c r="AF7" s="2"/>
      <c r="AG7" s="2"/>
      <c r="AH7" s="2"/>
      <c r="AI7" s="2"/>
      <c r="AJ7" s="2"/>
      <c r="AK7" s="2"/>
      <c r="AL7" s="2"/>
      <c r="AM7" s="2"/>
      <c r="AN7" s="2"/>
      <c r="AO7" s="2"/>
    </row>
    <row r="8" customFormat="false" ht="12.75" hidden="false" customHeight="true" outlineLevel="0" collapsed="false">
      <c r="A8" s="20" t="str">
        <f aca="false">Inputs!B31</f>
        <v>Brand 2</v>
      </c>
      <c r="B8" s="2"/>
      <c r="C8" s="2"/>
      <c r="D8" s="5" t="n">
        <f aca="false">Inputs!D31</f>
        <v>10000</v>
      </c>
      <c r="E8" s="5" t="n">
        <f aca="false">D8*Inputs!$E$11-Inputs!$E$9*D8</f>
        <v>14500</v>
      </c>
      <c r="F8" s="5" t="n">
        <f aca="false">E8*Inputs!$E$11-Inputs!$E$9*E8</f>
        <v>21025</v>
      </c>
      <c r="G8" s="230" t="n">
        <f aca="false">F8*Inputs!$E$11-Inputs!$E$9*F8</f>
        <v>30486.25</v>
      </c>
      <c r="H8" s="2"/>
      <c r="I8" s="20" t="str">
        <f aca="false">A8</f>
        <v>Brand 2</v>
      </c>
      <c r="J8" s="2"/>
      <c r="K8" s="2"/>
      <c r="L8" s="5" t="n">
        <f aca="false">Inputs!D31</f>
        <v>10000</v>
      </c>
      <c r="M8" s="5" t="n">
        <f aca="false">L8*Inputs!$E$11-Inputs!$E$9*L8</f>
        <v>14500</v>
      </c>
      <c r="N8" s="5" t="n">
        <f aca="false">M8*Inputs!$E$11-Inputs!$E$9*M8</f>
        <v>21025</v>
      </c>
      <c r="O8" s="230" t="n">
        <f aca="false">N8*Inputs!$E$11-Inputs!$E$9*N8</f>
        <v>30486.25</v>
      </c>
      <c r="P8" s="2"/>
      <c r="Q8" s="20" t="str">
        <f aca="false">I8</f>
        <v>Brand 2</v>
      </c>
      <c r="R8" s="2"/>
      <c r="S8" s="2"/>
      <c r="T8" s="5" t="n">
        <f aca="false">L8</f>
        <v>10000</v>
      </c>
      <c r="U8" s="5" t="n">
        <f aca="false">M8</f>
        <v>14500</v>
      </c>
      <c r="V8" s="5" t="n">
        <f aca="false">N8</f>
        <v>21025</v>
      </c>
      <c r="W8" s="230" t="n">
        <f aca="false">O8</f>
        <v>30486.25</v>
      </c>
      <c r="X8" s="2"/>
      <c r="Y8" s="20" t="str">
        <f aca="false">Q8</f>
        <v>Brand 2</v>
      </c>
      <c r="Z8" s="2"/>
      <c r="AA8" s="2"/>
      <c r="AB8" s="5" t="n">
        <f aca="false">T8</f>
        <v>10000</v>
      </c>
      <c r="AC8" s="5" t="n">
        <f aca="false">U8</f>
        <v>14500</v>
      </c>
      <c r="AD8" s="5" t="n">
        <f aca="false">V8</f>
        <v>21025</v>
      </c>
      <c r="AE8" s="230" t="n">
        <f aca="false">W8</f>
        <v>30486.25</v>
      </c>
      <c r="AF8" s="2"/>
      <c r="AG8" s="2"/>
      <c r="AH8" s="2"/>
      <c r="AI8" s="2"/>
      <c r="AJ8" s="2"/>
      <c r="AK8" s="2"/>
      <c r="AL8" s="2"/>
      <c r="AM8" s="2"/>
      <c r="AN8" s="2"/>
      <c r="AO8" s="2"/>
    </row>
    <row r="9" customFormat="false" ht="12.75" hidden="false" customHeight="true" outlineLevel="0" collapsed="false">
      <c r="A9" s="20" t="str">
        <f aca="false">Inputs!B32</f>
        <v>Brand 3</v>
      </c>
      <c r="B9" s="2"/>
      <c r="C9" s="2"/>
      <c r="D9" s="5" t="n">
        <f aca="false">Inputs!D32</f>
        <v>5000</v>
      </c>
      <c r="E9" s="5" t="n">
        <f aca="false">D9*Inputs!$E$11-Inputs!$E$9*D9</f>
        <v>7250</v>
      </c>
      <c r="F9" s="5" t="n">
        <f aca="false">E9*Inputs!$E$11-Inputs!$E$9*E9</f>
        <v>10512.5</v>
      </c>
      <c r="G9" s="230" t="n">
        <f aca="false">F9*Inputs!$E$11-Inputs!$E$9*F9</f>
        <v>15243.125</v>
      </c>
      <c r="H9" s="2"/>
      <c r="I9" s="20" t="str">
        <f aca="false">A9</f>
        <v>Brand 3</v>
      </c>
      <c r="J9" s="2"/>
      <c r="K9" s="2"/>
      <c r="L9" s="5" t="n">
        <f aca="false">Inputs!D32</f>
        <v>5000</v>
      </c>
      <c r="M9" s="5" t="n">
        <f aca="false">L9*Inputs!$E$11-Inputs!$E$9*L9</f>
        <v>7250</v>
      </c>
      <c r="N9" s="5" t="n">
        <f aca="false">M9*Inputs!$E$11-Inputs!$E$9*M9</f>
        <v>10512.5</v>
      </c>
      <c r="O9" s="230" t="n">
        <f aca="false">N9*Inputs!$E$11-Inputs!$E$9*N9</f>
        <v>15243.125</v>
      </c>
      <c r="P9" s="2"/>
      <c r="Q9" s="20" t="str">
        <f aca="false">I9</f>
        <v>Brand 3</v>
      </c>
      <c r="R9" s="2"/>
      <c r="S9" s="2"/>
      <c r="T9" s="5" t="n">
        <f aca="false">L9</f>
        <v>5000</v>
      </c>
      <c r="U9" s="5" t="n">
        <f aca="false">M9</f>
        <v>7250</v>
      </c>
      <c r="V9" s="5" t="n">
        <f aca="false">N9</f>
        <v>10512.5</v>
      </c>
      <c r="W9" s="230" t="n">
        <f aca="false">O9</f>
        <v>15243.125</v>
      </c>
      <c r="X9" s="2"/>
      <c r="Y9" s="20" t="str">
        <f aca="false">Q9</f>
        <v>Brand 3</v>
      </c>
      <c r="Z9" s="2"/>
      <c r="AA9" s="2"/>
      <c r="AB9" s="5" t="n">
        <f aca="false">T9</f>
        <v>5000</v>
      </c>
      <c r="AC9" s="5" t="n">
        <f aca="false">U9</f>
        <v>7250</v>
      </c>
      <c r="AD9" s="5" t="n">
        <f aca="false">V9</f>
        <v>10512.5</v>
      </c>
      <c r="AE9" s="230" t="n">
        <f aca="false">W9</f>
        <v>15243.125</v>
      </c>
      <c r="AF9" s="2"/>
      <c r="AG9" s="2"/>
      <c r="AH9" s="2"/>
      <c r="AI9" s="2"/>
      <c r="AJ9" s="2"/>
      <c r="AK9" s="2"/>
      <c r="AL9" s="2"/>
      <c r="AM9" s="2"/>
      <c r="AN9" s="2"/>
      <c r="AO9" s="2"/>
    </row>
    <row r="10" customFormat="false" ht="12.75" hidden="false" customHeight="true" outlineLevel="0" collapsed="false">
      <c r="A10" s="20" t="str">
        <f aca="false">Inputs!B33</f>
        <v>Brand 4</v>
      </c>
      <c r="B10" s="2"/>
      <c r="C10" s="2"/>
      <c r="D10" s="5" t="n">
        <f aca="false">Inputs!D33</f>
        <v>5000</v>
      </c>
      <c r="E10" s="5" t="n">
        <f aca="false">D10*Inputs!$E$11-Inputs!$E$9*D10</f>
        <v>7250</v>
      </c>
      <c r="F10" s="5" t="n">
        <f aca="false">E10*Inputs!$E$11-Inputs!$E$9*E10</f>
        <v>10512.5</v>
      </c>
      <c r="G10" s="230" t="n">
        <f aca="false">F10*Inputs!$E$11-Inputs!$E$9*F10</f>
        <v>15243.125</v>
      </c>
      <c r="H10" s="2"/>
      <c r="I10" s="20" t="str">
        <f aca="false">A10</f>
        <v>Brand 4</v>
      </c>
      <c r="J10" s="2"/>
      <c r="K10" s="2"/>
      <c r="L10" s="5" t="n">
        <f aca="false">Inputs!D33</f>
        <v>5000</v>
      </c>
      <c r="M10" s="5" t="n">
        <f aca="false">L10*Inputs!$E$11-Inputs!$E$9*L10</f>
        <v>7250</v>
      </c>
      <c r="N10" s="5" t="n">
        <f aca="false">M10*Inputs!$E$11-Inputs!$E$9*M10</f>
        <v>10512.5</v>
      </c>
      <c r="O10" s="230" t="n">
        <f aca="false">N10*Inputs!$E$11-Inputs!$E$9*N10</f>
        <v>15243.125</v>
      </c>
      <c r="P10" s="2"/>
      <c r="Q10" s="20" t="str">
        <f aca="false">I10</f>
        <v>Brand 4</v>
      </c>
      <c r="R10" s="2"/>
      <c r="S10" s="2"/>
      <c r="T10" s="5" t="n">
        <f aca="false">L10</f>
        <v>5000</v>
      </c>
      <c r="U10" s="5" t="n">
        <f aca="false">M10</f>
        <v>7250</v>
      </c>
      <c r="V10" s="5" t="n">
        <f aca="false">N10</f>
        <v>10512.5</v>
      </c>
      <c r="W10" s="230" t="n">
        <f aca="false">O10</f>
        <v>15243.125</v>
      </c>
      <c r="X10" s="2"/>
      <c r="Y10" s="20" t="str">
        <f aca="false">Q10</f>
        <v>Brand 4</v>
      </c>
      <c r="Z10" s="2"/>
      <c r="AA10" s="2"/>
      <c r="AB10" s="5" t="n">
        <f aca="false">T10</f>
        <v>5000</v>
      </c>
      <c r="AC10" s="5" t="n">
        <f aca="false">U10</f>
        <v>7250</v>
      </c>
      <c r="AD10" s="5" t="n">
        <f aca="false">V10</f>
        <v>10512.5</v>
      </c>
      <c r="AE10" s="230" t="n">
        <f aca="false">W10</f>
        <v>15243.125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customFormat="false" ht="12.75" hidden="false" customHeight="true" outlineLevel="0" collapsed="false">
      <c r="A11" s="20" t="str">
        <f aca="false">Inputs!B34</f>
        <v>Brand 5</v>
      </c>
      <c r="B11" s="2"/>
      <c r="C11" s="2"/>
      <c r="D11" s="5" t="n">
        <f aca="false">Inputs!D34</f>
        <v>5000</v>
      </c>
      <c r="E11" s="5" t="n">
        <f aca="false">D11*Inputs!$E$11-Inputs!$E$9*D11</f>
        <v>7250</v>
      </c>
      <c r="F11" s="5" t="n">
        <f aca="false">E11*Inputs!$E$11-Inputs!$E$9*E11</f>
        <v>10512.5</v>
      </c>
      <c r="G11" s="230" t="n">
        <f aca="false">F11*Inputs!$E$11-Inputs!$E$9*F11</f>
        <v>15243.125</v>
      </c>
      <c r="H11" s="2"/>
      <c r="I11" s="20" t="str">
        <f aca="false">A11</f>
        <v>Brand 5</v>
      </c>
      <c r="J11" s="2"/>
      <c r="K11" s="2"/>
      <c r="L11" s="5" t="n">
        <f aca="false">Inputs!D34</f>
        <v>5000</v>
      </c>
      <c r="M11" s="5" t="n">
        <f aca="false">L11*Inputs!$E$11-Inputs!$E$9*L11</f>
        <v>7250</v>
      </c>
      <c r="N11" s="5" t="n">
        <f aca="false">M11*Inputs!$E$11-Inputs!$E$9*M11</f>
        <v>10512.5</v>
      </c>
      <c r="O11" s="230" t="n">
        <f aca="false">N11*Inputs!$E$11-Inputs!$E$9*N11</f>
        <v>15243.125</v>
      </c>
      <c r="P11" s="2"/>
      <c r="Q11" s="20" t="str">
        <f aca="false">I11</f>
        <v>Brand 5</v>
      </c>
      <c r="R11" s="2"/>
      <c r="S11" s="2"/>
      <c r="T11" s="5" t="n">
        <f aca="false">L11</f>
        <v>5000</v>
      </c>
      <c r="U11" s="5" t="n">
        <f aca="false">M11</f>
        <v>7250</v>
      </c>
      <c r="V11" s="5" t="n">
        <f aca="false">N11</f>
        <v>10512.5</v>
      </c>
      <c r="W11" s="230" t="n">
        <f aca="false">O11</f>
        <v>15243.125</v>
      </c>
      <c r="X11" s="2"/>
      <c r="Y11" s="20" t="str">
        <f aca="false">Q11</f>
        <v>Brand 5</v>
      </c>
      <c r="Z11" s="2"/>
      <c r="AA11" s="2"/>
      <c r="AB11" s="5" t="n">
        <f aca="false">T11</f>
        <v>5000</v>
      </c>
      <c r="AC11" s="5" t="n">
        <f aca="false">U11</f>
        <v>7250</v>
      </c>
      <c r="AD11" s="5" t="n">
        <f aca="false">V11</f>
        <v>10512.5</v>
      </c>
      <c r="AE11" s="230" t="n">
        <f aca="false">W11</f>
        <v>15243.125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customFormat="false" ht="12.75" hidden="false" customHeight="true" outlineLevel="0" collapsed="false">
      <c r="A12" s="20" t="str">
        <f aca="false">Inputs!B35</f>
        <v>Brand 6</v>
      </c>
      <c r="B12" s="2"/>
      <c r="C12" s="2"/>
      <c r="D12" s="5" t="n">
        <f aca="false">Inputs!D35</f>
        <v>5000</v>
      </c>
      <c r="E12" s="5" t="n">
        <f aca="false">D12*Inputs!$E$11-Inputs!$E$9*D12</f>
        <v>7250</v>
      </c>
      <c r="F12" s="5" t="n">
        <f aca="false">E12*Inputs!$E$11-Inputs!$E$9*E12</f>
        <v>10512.5</v>
      </c>
      <c r="G12" s="230" t="n">
        <f aca="false">F12*Inputs!$E$11-Inputs!$E$9*F12</f>
        <v>15243.125</v>
      </c>
      <c r="H12" s="2"/>
      <c r="I12" s="20" t="str">
        <f aca="false">A12</f>
        <v>Brand 6</v>
      </c>
      <c r="J12" s="2"/>
      <c r="K12" s="2"/>
      <c r="L12" s="5" t="n">
        <f aca="false">Inputs!D35</f>
        <v>5000</v>
      </c>
      <c r="M12" s="5" t="n">
        <f aca="false">L12*Inputs!$E$11-Inputs!$E$9*L12</f>
        <v>7250</v>
      </c>
      <c r="N12" s="5" t="n">
        <f aca="false">M12*Inputs!$E$11-Inputs!$E$9*M12</f>
        <v>10512.5</v>
      </c>
      <c r="O12" s="230" t="n">
        <f aca="false">N12*Inputs!$E$11-Inputs!$E$9*N12</f>
        <v>15243.125</v>
      </c>
      <c r="P12" s="2"/>
      <c r="Q12" s="20" t="str">
        <f aca="false">I12</f>
        <v>Brand 6</v>
      </c>
      <c r="R12" s="2"/>
      <c r="S12" s="2"/>
      <c r="T12" s="5" t="n">
        <f aca="false">L12</f>
        <v>5000</v>
      </c>
      <c r="U12" s="5" t="n">
        <f aca="false">M12</f>
        <v>7250</v>
      </c>
      <c r="V12" s="5" t="n">
        <f aca="false">N12</f>
        <v>10512.5</v>
      </c>
      <c r="W12" s="230" t="n">
        <f aca="false">O12</f>
        <v>15243.125</v>
      </c>
      <c r="X12" s="2"/>
      <c r="Y12" s="20" t="str">
        <f aca="false">Q12</f>
        <v>Brand 6</v>
      </c>
      <c r="Z12" s="2"/>
      <c r="AA12" s="2"/>
      <c r="AB12" s="5" t="n">
        <f aca="false">T12</f>
        <v>5000</v>
      </c>
      <c r="AC12" s="5" t="n">
        <f aca="false">U12</f>
        <v>7250</v>
      </c>
      <c r="AD12" s="5" t="n">
        <f aca="false">V12</f>
        <v>10512.5</v>
      </c>
      <c r="AE12" s="230" t="n">
        <f aca="false">W12</f>
        <v>15243.125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customFormat="false" ht="12.75" hidden="false" customHeight="true" outlineLevel="0" collapsed="false">
      <c r="A13" s="20" t="str">
        <f aca="false">Inputs!B36</f>
        <v>Brand 7</v>
      </c>
      <c r="B13" s="2"/>
      <c r="C13" s="2"/>
      <c r="D13" s="5" t="n">
        <f aca="false">Inputs!D36</f>
        <v>869.18</v>
      </c>
      <c r="E13" s="5" t="n">
        <f aca="false">D13*Inputs!$E$11-Inputs!$E$9*D13</f>
        <v>1260.311</v>
      </c>
      <c r="F13" s="5" t="n">
        <f aca="false">E13*Inputs!$E$11-Inputs!$E$9*E13</f>
        <v>1827.45095</v>
      </c>
      <c r="G13" s="230" t="n">
        <f aca="false">F13*Inputs!$E$11-Inputs!$E$9*F13</f>
        <v>2649.803878</v>
      </c>
      <c r="H13" s="2"/>
      <c r="I13" s="20" t="str">
        <f aca="false">A13</f>
        <v>Brand 7</v>
      </c>
      <c r="J13" s="2"/>
      <c r="K13" s="2"/>
      <c r="L13" s="5" t="n">
        <f aca="false">Inputs!D36</f>
        <v>869.18</v>
      </c>
      <c r="M13" s="5" t="n">
        <f aca="false">L13*Inputs!$E$11-Inputs!$E$9*L13</f>
        <v>1260.311</v>
      </c>
      <c r="N13" s="5" t="n">
        <f aca="false">M13*Inputs!$E$11-Inputs!$E$9*M13</f>
        <v>1827.45095</v>
      </c>
      <c r="O13" s="230" t="n">
        <f aca="false">N13*Inputs!$E$11-Inputs!$E$9*N13</f>
        <v>2649.803878</v>
      </c>
      <c r="P13" s="2"/>
      <c r="Q13" s="20" t="str">
        <f aca="false">I13</f>
        <v>Brand 7</v>
      </c>
      <c r="R13" s="2"/>
      <c r="S13" s="2"/>
      <c r="T13" s="5" t="n">
        <f aca="false">L13</f>
        <v>869.18</v>
      </c>
      <c r="U13" s="5" t="n">
        <f aca="false">M13</f>
        <v>1260.311</v>
      </c>
      <c r="V13" s="5" t="n">
        <f aca="false">N13</f>
        <v>1827.45095</v>
      </c>
      <c r="W13" s="230" t="n">
        <f aca="false">O13</f>
        <v>2649.803878</v>
      </c>
      <c r="X13" s="2"/>
      <c r="Y13" s="20" t="str">
        <f aca="false">Q13</f>
        <v>Brand 7</v>
      </c>
      <c r="Z13" s="2"/>
      <c r="AA13" s="2"/>
      <c r="AB13" s="5" t="n">
        <f aca="false">T13</f>
        <v>869.18</v>
      </c>
      <c r="AC13" s="5" t="n">
        <f aca="false">U13</f>
        <v>1260.311</v>
      </c>
      <c r="AD13" s="5" t="n">
        <f aca="false">V13</f>
        <v>1827.45095</v>
      </c>
      <c r="AE13" s="230" t="n">
        <f aca="false">W13</f>
        <v>2649.803878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customFormat="false" ht="12.75" hidden="false" customHeight="true" outlineLevel="0" collapsed="false">
      <c r="A14" s="20" t="str">
        <f aca="false">Inputs!B37</f>
        <v>Brand 8</v>
      </c>
      <c r="B14" s="2"/>
      <c r="C14" s="2"/>
      <c r="D14" s="5" t="n">
        <f aca="false">Inputs!D37</f>
        <v>5000</v>
      </c>
      <c r="E14" s="5" t="n">
        <f aca="false">D14*Inputs!$E$11-Inputs!$E$9*D14</f>
        <v>7250</v>
      </c>
      <c r="F14" s="5" t="n">
        <f aca="false">E14*Inputs!$E$11-Inputs!$E$9*E14</f>
        <v>10512.5</v>
      </c>
      <c r="G14" s="230" t="n">
        <f aca="false">F14*Inputs!$E$11-Inputs!$E$9*F14</f>
        <v>15243.125</v>
      </c>
      <c r="H14" s="2"/>
      <c r="I14" s="20" t="str">
        <f aca="false">A14</f>
        <v>Brand 8</v>
      </c>
      <c r="J14" s="2"/>
      <c r="K14" s="2"/>
      <c r="L14" s="5" t="n">
        <f aca="false">Inputs!D37</f>
        <v>5000</v>
      </c>
      <c r="M14" s="5" t="n">
        <f aca="false">L14*Inputs!$E$11-Inputs!$E$9*L14</f>
        <v>7250</v>
      </c>
      <c r="N14" s="5" t="n">
        <f aca="false">M14*Inputs!$E$11-Inputs!$E$9*M14</f>
        <v>10512.5</v>
      </c>
      <c r="O14" s="230" t="n">
        <f aca="false">N14*Inputs!$E$11-Inputs!$E$9*N14</f>
        <v>15243.125</v>
      </c>
      <c r="P14" s="2"/>
      <c r="Q14" s="20" t="str">
        <f aca="false">I14</f>
        <v>Brand 8</v>
      </c>
      <c r="R14" s="2"/>
      <c r="S14" s="2"/>
      <c r="T14" s="5" t="n">
        <f aca="false">L14</f>
        <v>5000</v>
      </c>
      <c r="U14" s="5" t="n">
        <f aca="false">M14</f>
        <v>7250</v>
      </c>
      <c r="V14" s="5" t="n">
        <f aca="false">N14</f>
        <v>10512.5</v>
      </c>
      <c r="W14" s="230" t="n">
        <f aca="false">O14</f>
        <v>15243.125</v>
      </c>
      <c r="X14" s="2"/>
      <c r="Y14" s="20" t="str">
        <f aca="false">Q14</f>
        <v>Brand 8</v>
      </c>
      <c r="Z14" s="2"/>
      <c r="AA14" s="2"/>
      <c r="AB14" s="5" t="n">
        <f aca="false">T14</f>
        <v>5000</v>
      </c>
      <c r="AC14" s="5" t="n">
        <f aca="false">U14</f>
        <v>7250</v>
      </c>
      <c r="AD14" s="5" t="n">
        <f aca="false">V14</f>
        <v>10512.5</v>
      </c>
      <c r="AE14" s="230" t="n">
        <f aca="false">W14</f>
        <v>15243.125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customFormat="false" ht="12.75" hidden="false" customHeight="true" outlineLevel="0" collapsed="false">
      <c r="A15" s="20" t="str">
        <f aca="false">Inputs!B38</f>
        <v>Brand 9</v>
      </c>
      <c r="B15" s="2"/>
      <c r="C15" s="2"/>
      <c r="D15" s="72" t="n">
        <f aca="false">Inputs!D38</f>
        <v>5000</v>
      </c>
      <c r="E15" s="72" t="n">
        <f aca="false">D15*Inputs!$E$11-Inputs!$E$9*D15</f>
        <v>7250</v>
      </c>
      <c r="F15" s="72" t="n">
        <f aca="false">E15*Inputs!$E$11-Inputs!$E$9*E15</f>
        <v>10512.5</v>
      </c>
      <c r="G15" s="283" t="n">
        <f aca="false">F15*Inputs!$E$11-Inputs!$E$9*F15</f>
        <v>15243.125</v>
      </c>
      <c r="H15" s="2"/>
      <c r="I15" s="20" t="str">
        <f aca="false">A15</f>
        <v>Brand 9</v>
      </c>
      <c r="J15" s="2"/>
      <c r="K15" s="2"/>
      <c r="L15" s="72" t="n">
        <f aca="false">Inputs!D38</f>
        <v>5000</v>
      </c>
      <c r="M15" s="72" t="n">
        <f aca="false">L15*Inputs!$E$11-Inputs!$E$9*L15</f>
        <v>7250</v>
      </c>
      <c r="N15" s="72" t="n">
        <f aca="false">M15*Inputs!$E$11-Inputs!$E$9*M15</f>
        <v>10512.5</v>
      </c>
      <c r="O15" s="283" t="n">
        <f aca="false">N15*Inputs!$E$11-Inputs!$E$9*N15</f>
        <v>15243.125</v>
      </c>
      <c r="P15" s="2"/>
      <c r="Q15" s="20" t="str">
        <f aca="false">I15</f>
        <v>Brand 9</v>
      </c>
      <c r="R15" s="2"/>
      <c r="S15" s="2"/>
      <c r="T15" s="72" t="n">
        <f aca="false">L15</f>
        <v>5000</v>
      </c>
      <c r="U15" s="72" t="n">
        <f aca="false">M15</f>
        <v>7250</v>
      </c>
      <c r="V15" s="72" t="n">
        <f aca="false">N15</f>
        <v>10512.5</v>
      </c>
      <c r="W15" s="283" t="n">
        <f aca="false">O15</f>
        <v>15243.125</v>
      </c>
      <c r="X15" s="2"/>
      <c r="Y15" s="20" t="str">
        <f aca="false">Q15</f>
        <v>Brand 9</v>
      </c>
      <c r="Z15" s="2"/>
      <c r="AA15" s="2"/>
      <c r="AB15" s="72" t="n">
        <f aca="false">T15</f>
        <v>5000</v>
      </c>
      <c r="AC15" s="72" t="n">
        <f aca="false">U15</f>
        <v>7250</v>
      </c>
      <c r="AD15" s="72" t="n">
        <f aca="false">V15</f>
        <v>10512.5</v>
      </c>
      <c r="AE15" s="283" t="n">
        <f aca="false">W15</f>
        <v>15243.125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customFormat="false" ht="12.75" hidden="false" customHeight="true" outlineLevel="0" collapsed="false">
      <c r="A16" s="392" t="s">
        <v>253</v>
      </c>
      <c r="B16" s="1"/>
      <c r="C16" s="1"/>
      <c r="D16" s="393" t="n">
        <f aca="false">ROUNDUP(SUM(D7:D15),0)</f>
        <v>55870</v>
      </c>
      <c r="E16" s="393" t="n">
        <f aca="false">SUM(E7:E15)</f>
        <v>81010.311</v>
      </c>
      <c r="F16" s="393" t="n">
        <f aca="false">SUM(F7:F15)</f>
        <v>117464.95095</v>
      </c>
      <c r="G16" s="394" t="n">
        <f aca="false">SUM(G7:G15)</f>
        <v>170324.178878</v>
      </c>
      <c r="H16" s="2"/>
      <c r="I16" s="392" t="s">
        <v>253</v>
      </c>
      <c r="J16" s="1"/>
      <c r="K16" s="1"/>
      <c r="L16" s="393" t="n">
        <f aca="false">ROUNDUP(SUM(L7:L15),0)</f>
        <v>55870</v>
      </c>
      <c r="M16" s="393" t="n">
        <f aca="false">SUM(M7:M15)</f>
        <v>81010.311</v>
      </c>
      <c r="N16" s="393" t="n">
        <f aca="false">SUM(N7:N15)</f>
        <v>117464.95095</v>
      </c>
      <c r="O16" s="394" t="n">
        <f aca="false">SUM(O7:O15)</f>
        <v>170324.178878</v>
      </c>
      <c r="P16" s="2"/>
      <c r="Q16" s="392" t="str">
        <f aca="false">I16</f>
        <v>Total Subscribers*</v>
      </c>
      <c r="R16" s="2"/>
      <c r="S16" s="2"/>
      <c r="T16" s="393" t="n">
        <f aca="false">SUM(T7:T15)</f>
        <v>55869.18</v>
      </c>
      <c r="U16" s="393" t="n">
        <f aca="false">SUM(U7:U15)</f>
        <v>81010.311</v>
      </c>
      <c r="V16" s="393" t="n">
        <f aca="false">SUM(V7:V15)</f>
        <v>117464.95095</v>
      </c>
      <c r="W16" s="394" t="n">
        <f aca="false">SUM(W7:W15)</f>
        <v>170324.178878</v>
      </c>
      <c r="X16" s="2"/>
      <c r="Y16" s="392" t="str">
        <f aca="false">Q16</f>
        <v>Total Subscribers*</v>
      </c>
      <c r="Z16" s="2"/>
      <c r="AA16" s="2"/>
      <c r="AB16" s="393" t="n">
        <f aca="false">SUM(AB7:AB15)</f>
        <v>55869.18</v>
      </c>
      <c r="AC16" s="393" t="n">
        <f aca="false">SUM(AC7:AC15)</f>
        <v>81010.311</v>
      </c>
      <c r="AD16" s="393" t="n">
        <f aca="false">SUM(AD7:AD15)</f>
        <v>117464.95095</v>
      </c>
      <c r="AE16" s="394" t="n">
        <f aca="false">SUM(AE7:AE15)</f>
        <v>170324.178878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customFormat="false" ht="12.75" hidden="false" customHeight="true" outlineLevel="0" collapsed="false">
      <c r="A17" s="56"/>
      <c r="B17" s="2"/>
      <c r="C17" s="2"/>
      <c r="D17" s="2"/>
      <c r="E17" s="2"/>
      <c r="F17" s="2"/>
      <c r="G17" s="25"/>
      <c r="H17" s="2"/>
      <c r="I17" s="56"/>
      <c r="J17" s="2"/>
      <c r="K17" s="2"/>
      <c r="L17" s="2"/>
      <c r="M17" s="2"/>
      <c r="N17" s="2"/>
      <c r="O17" s="25"/>
      <c r="P17" s="2"/>
      <c r="Q17" s="61"/>
      <c r="R17" s="2"/>
      <c r="S17" s="2"/>
      <c r="T17" s="2"/>
      <c r="U17" s="2"/>
      <c r="V17" s="2"/>
      <c r="W17" s="25"/>
      <c r="X17" s="2"/>
      <c r="Y17" s="61"/>
      <c r="Z17" s="2"/>
      <c r="AA17" s="2"/>
      <c r="AB17" s="2"/>
      <c r="AC17" s="2"/>
      <c r="AD17" s="2"/>
      <c r="AE17" s="25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customFormat="false" ht="12.75" hidden="false" customHeight="true" outlineLevel="0" collapsed="false">
      <c r="A18" s="61" t="s">
        <v>80</v>
      </c>
      <c r="B18" s="395" t="s">
        <v>254</v>
      </c>
      <c r="C18" s="395" t="s">
        <v>255</v>
      </c>
      <c r="D18" s="27" t="str">
        <f aca="false">D6</f>
        <v>Year 1</v>
      </c>
      <c r="E18" s="27" t="str">
        <f aca="false">E6</f>
        <v>Year 2</v>
      </c>
      <c r="F18" s="27" t="str">
        <f aca="false">F6</f>
        <v>Year 3</v>
      </c>
      <c r="G18" s="28" t="str">
        <f aca="false">G6</f>
        <v>Year 4</v>
      </c>
      <c r="H18" s="2"/>
      <c r="I18" s="61" t="s">
        <v>80</v>
      </c>
      <c r="J18" s="395" t="s">
        <v>254</v>
      </c>
      <c r="K18" s="395" t="s">
        <v>255</v>
      </c>
      <c r="L18" s="27" t="str">
        <f aca="false">L6</f>
        <v>Year 1</v>
      </c>
      <c r="M18" s="27" t="str">
        <f aca="false">M6</f>
        <v>Year 2</v>
      </c>
      <c r="N18" s="27" t="str">
        <f aca="false">N6</f>
        <v>Year 3</v>
      </c>
      <c r="O18" s="28" t="str">
        <f aca="false">O6</f>
        <v>Year 4</v>
      </c>
      <c r="P18" s="2"/>
      <c r="Q18" s="61" t="s">
        <v>80</v>
      </c>
      <c r="R18" s="395" t="s">
        <v>254</v>
      </c>
      <c r="S18" s="395" t="s">
        <v>255</v>
      </c>
      <c r="T18" s="27" t="str">
        <f aca="false">T6</f>
        <v>Year 1</v>
      </c>
      <c r="U18" s="27" t="str">
        <f aca="false">U6</f>
        <v>Year 2</v>
      </c>
      <c r="V18" s="27" t="str">
        <f aca="false">V6</f>
        <v>Year 3</v>
      </c>
      <c r="W18" s="28" t="str">
        <f aca="false">W6</f>
        <v>Year 4</v>
      </c>
      <c r="X18" s="2"/>
      <c r="Y18" s="61" t="s">
        <v>80</v>
      </c>
      <c r="Z18" s="395" t="s">
        <v>254</v>
      </c>
      <c r="AA18" s="395" t="s">
        <v>255</v>
      </c>
      <c r="AB18" s="27" t="str">
        <f aca="false">AB6</f>
        <v>Year 1</v>
      </c>
      <c r="AC18" s="27" t="str">
        <f aca="false">AC6</f>
        <v>Year 2</v>
      </c>
      <c r="AD18" s="27" t="str">
        <f aca="false">AD6</f>
        <v>Year 3</v>
      </c>
      <c r="AE18" s="28" t="str">
        <f aca="false">AE6</f>
        <v>Year 4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customFormat="false" ht="12.75" hidden="false" customHeight="true" outlineLevel="0" collapsed="false">
      <c r="A19" s="20" t="s">
        <v>256</v>
      </c>
      <c r="B19" s="6"/>
      <c r="C19" s="7" t="n">
        <f aca="false">Inputs!AC136</f>
        <v>4.313002171</v>
      </c>
      <c r="D19" s="396" t="n">
        <f aca="false">Inputs!$AC$135/Inputs!$D$39*D16*12</f>
        <v>2932564.744</v>
      </c>
      <c r="E19" s="396" t="n">
        <f aca="false">Inputs!$AC$135/Inputs!$D$39*E16*12</f>
        <v>4252156.47</v>
      </c>
      <c r="F19" s="396" t="n">
        <f aca="false">Inputs!$AC$135/Inputs!$D$39*F16*12</f>
        <v>6165626.881</v>
      </c>
      <c r="G19" s="397" t="n">
        <f aca="false">Inputs!$AC$135/Inputs!$D$39*G16*12</f>
        <v>8940158.977</v>
      </c>
      <c r="H19" s="2"/>
      <c r="I19" s="20" t="str">
        <f aca="false">A19</f>
        <v>Program Fees Revenue**</v>
      </c>
      <c r="J19" s="47"/>
      <c r="K19" s="66" t="n">
        <f aca="false">C19</f>
        <v>4.313002171</v>
      </c>
      <c r="L19" s="398" t="n">
        <f aca="false">D19</f>
        <v>2932564.744</v>
      </c>
      <c r="M19" s="398" t="n">
        <f aca="false">E19</f>
        <v>4252156.47</v>
      </c>
      <c r="N19" s="398" t="n">
        <f aca="false">F19</f>
        <v>6165626.881</v>
      </c>
      <c r="O19" s="399" t="n">
        <f aca="false">G19</f>
        <v>8940158.977</v>
      </c>
      <c r="P19" s="2"/>
      <c r="Q19" s="20" t="str">
        <f aca="false">I19</f>
        <v>Program Fees Revenue**</v>
      </c>
      <c r="R19" s="47"/>
      <c r="S19" s="66" t="n">
        <f aca="false">K19</f>
        <v>4.313002171</v>
      </c>
      <c r="T19" s="398" t="n">
        <f aca="false">L19</f>
        <v>2932564.744</v>
      </c>
      <c r="U19" s="398" t="n">
        <f aca="false">M19</f>
        <v>4252156.47</v>
      </c>
      <c r="V19" s="398" t="n">
        <f aca="false">N19</f>
        <v>6165626.881</v>
      </c>
      <c r="W19" s="399" t="n">
        <f aca="false">O19</f>
        <v>8940158.977</v>
      </c>
      <c r="X19" s="7"/>
      <c r="Y19" s="20" t="str">
        <f aca="false">Q19</f>
        <v>Program Fees Revenue**</v>
      </c>
      <c r="Z19" s="47"/>
      <c r="AA19" s="66" t="n">
        <f aca="false">S19</f>
        <v>4.313002171</v>
      </c>
      <c r="AB19" s="398" t="n">
        <f aca="false">T19</f>
        <v>2932564.744</v>
      </c>
      <c r="AC19" s="398" t="n">
        <f aca="false">U19</f>
        <v>4252156.47</v>
      </c>
      <c r="AD19" s="398" t="n">
        <f aca="false">V19</f>
        <v>6165626.881</v>
      </c>
      <c r="AE19" s="399" t="n">
        <f aca="false">W19</f>
        <v>8940158.977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customFormat="false" ht="12.75" hidden="false" customHeight="true" outlineLevel="0" collapsed="false">
      <c r="A20" s="20" t="s">
        <v>257</v>
      </c>
      <c r="B20" s="7"/>
      <c r="C20" s="7" t="n">
        <f aca="false">Inputs!AD136</f>
        <v>27.52406047</v>
      </c>
      <c r="D20" s="396" t="n">
        <f aca="false">Inputs!$AD$135/Inputs!$D$39*D16*12</f>
        <v>18714595.12</v>
      </c>
      <c r="E20" s="396" t="n">
        <f aca="false">Inputs!$AD$135/Inputs!$D$39*E16*12</f>
        <v>27135764.64</v>
      </c>
      <c r="F20" s="396" t="n">
        <f aca="false">Inputs!$AD$135/Inputs!$D$39*F16*12</f>
        <v>39346858.73</v>
      </c>
      <c r="G20" s="397" t="n">
        <f aca="false">Inputs!$AD$135/Inputs!$D$39*G16*12</f>
        <v>57052945.16</v>
      </c>
      <c r="H20" s="2"/>
      <c r="I20" s="20" t="str">
        <f aca="false">A20</f>
        <v>Product 1 Overage Revenue**</v>
      </c>
      <c r="J20" s="47"/>
      <c r="K20" s="66" t="n">
        <f aca="false">C20</f>
        <v>27.52406047</v>
      </c>
      <c r="L20" s="398" t="n">
        <f aca="false">D20</f>
        <v>18714595.12</v>
      </c>
      <c r="M20" s="398" t="n">
        <f aca="false">E20</f>
        <v>27135764.64</v>
      </c>
      <c r="N20" s="398" t="n">
        <f aca="false">F20</f>
        <v>39346858.73</v>
      </c>
      <c r="O20" s="399" t="n">
        <f aca="false">G20</f>
        <v>57052945.16</v>
      </c>
      <c r="P20" s="2"/>
      <c r="Q20" s="20" t="str">
        <f aca="false">I20</f>
        <v>Product 1 Overage Revenue**</v>
      </c>
      <c r="R20" s="47"/>
      <c r="S20" s="66" t="n">
        <f aca="false">K20</f>
        <v>27.52406047</v>
      </c>
      <c r="T20" s="398" t="n">
        <f aca="false">L20</f>
        <v>18714595.12</v>
      </c>
      <c r="U20" s="398" t="n">
        <f aca="false">M20</f>
        <v>27135764.64</v>
      </c>
      <c r="V20" s="398" t="n">
        <f aca="false">N20</f>
        <v>39346858.73</v>
      </c>
      <c r="W20" s="399" t="n">
        <f aca="false">O20</f>
        <v>57052945.16</v>
      </c>
      <c r="X20" s="7"/>
      <c r="Y20" s="20" t="str">
        <f aca="false">Q20</f>
        <v>Product 1 Overage Revenue**</v>
      </c>
      <c r="Z20" s="47"/>
      <c r="AA20" s="66" t="n">
        <f aca="false">S20</f>
        <v>27.52406047</v>
      </c>
      <c r="AB20" s="398" t="n">
        <f aca="false">T20</f>
        <v>18714595.12</v>
      </c>
      <c r="AC20" s="398" t="n">
        <f aca="false">U20</f>
        <v>27135764.64</v>
      </c>
      <c r="AD20" s="398" t="n">
        <f aca="false">V20</f>
        <v>39346858.73</v>
      </c>
      <c r="AE20" s="399" t="n">
        <f aca="false">W20</f>
        <v>57052945.16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customFormat="false" ht="12.75" hidden="false" customHeight="true" outlineLevel="0" collapsed="false">
      <c r="A21" s="20" t="s">
        <v>258</v>
      </c>
      <c r="B21" s="7"/>
      <c r="C21" s="7" t="n">
        <f aca="false">Inputs!AE136</f>
        <v>10.40041418</v>
      </c>
      <c r="D21" s="396" t="n">
        <f aca="false">Inputs!$AE$135/Inputs!$D$39*D16*12</f>
        <v>7071614.331</v>
      </c>
      <c r="E21" s="396" t="n">
        <f aca="false">Inputs!$AE$135/Inputs!$D$39*E16*12</f>
        <v>10253690.29</v>
      </c>
      <c r="F21" s="396" t="n">
        <f aca="false">Inputs!$AE$135/Inputs!$D$39*F16*12</f>
        <v>14867850.91</v>
      </c>
      <c r="G21" s="397" t="n">
        <f aca="false">Inputs!$AE$135/Inputs!$D$39*G16*12</f>
        <v>21558383.83</v>
      </c>
      <c r="H21" s="2"/>
      <c r="I21" s="20" t="str">
        <f aca="false">A21</f>
        <v>Product 2 Overage Revenue**</v>
      </c>
      <c r="J21" s="47"/>
      <c r="K21" s="66" t="n">
        <f aca="false">C21</f>
        <v>10.40041418</v>
      </c>
      <c r="L21" s="398" t="n">
        <f aca="false">D21</f>
        <v>7071614.331</v>
      </c>
      <c r="M21" s="398" t="n">
        <f aca="false">E21</f>
        <v>10253690.29</v>
      </c>
      <c r="N21" s="398" t="n">
        <f aca="false">F21</f>
        <v>14867850.91</v>
      </c>
      <c r="O21" s="399" t="n">
        <f aca="false">G21</f>
        <v>21558383.83</v>
      </c>
      <c r="P21" s="2"/>
      <c r="Q21" s="20" t="str">
        <f aca="false">I21</f>
        <v>Product 2 Overage Revenue**</v>
      </c>
      <c r="R21" s="47"/>
      <c r="S21" s="66" t="n">
        <f aca="false">K21</f>
        <v>10.40041418</v>
      </c>
      <c r="T21" s="398" t="n">
        <f aca="false">L21</f>
        <v>7071614.331</v>
      </c>
      <c r="U21" s="398" t="n">
        <f aca="false">M21</f>
        <v>10253690.29</v>
      </c>
      <c r="V21" s="398" t="n">
        <f aca="false">N21</f>
        <v>14867850.91</v>
      </c>
      <c r="W21" s="399" t="n">
        <f aca="false">O21</f>
        <v>21558383.83</v>
      </c>
      <c r="X21" s="7"/>
      <c r="Y21" s="20" t="str">
        <f aca="false">Q21</f>
        <v>Product 2 Overage Revenue**</v>
      </c>
      <c r="Z21" s="47"/>
      <c r="AA21" s="66" t="n">
        <f aca="false">S21</f>
        <v>10.40041418</v>
      </c>
      <c r="AB21" s="398" t="n">
        <f aca="false">T21</f>
        <v>7071614.331</v>
      </c>
      <c r="AC21" s="398" t="n">
        <f aca="false">U21</f>
        <v>10253690.29</v>
      </c>
      <c r="AD21" s="398" t="n">
        <f aca="false">V21</f>
        <v>14867850.91</v>
      </c>
      <c r="AE21" s="399" t="n">
        <f aca="false">W21</f>
        <v>21558383.83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customFormat="false" ht="12.75" hidden="false" customHeight="true" outlineLevel="0" collapsed="false">
      <c r="A22" s="20" t="s">
        <v>259</v>
      </c>
      <c r="B22" s="400"/>
      <c r="C22" s="7" t="n">
        <f aca="false">Inputs!AF136</f>
        <v>0.0207</v>
      </c>
      <c r="D22" s="396" t="n">
        <f aca="false">Inputs!$AF$135/Inputs!$D$39*D16*12</f>
        <v>14074.67184</v>
      </c>
      <c r="E22" s="396" t="n">
        <f aca="false">Inputs!$AF$135/Inputs!$D$39*E16*12</f>
        <v>20407.97464</v>
      </c>
      <c r="F22" s="396" t="n">
        <f aca="false">Inputs!$AF$135/Inputs!$D$39*F16*12</f>
        <v>29591.56323</v>
      </c>
      <c r="G22" s="397" t="n">
        <f aca="false">Inputs!$AF$135/Inputs!$D$39*G16*12</f>
        <v>42907.76668</v>
      </c>
      <c r="H22" s="2"/>
      <c r="I22" s="20" t="str">
        <f aca="false">A22</f>
        <v>Product 3 Usage Revenue**</v>
      </c>
      <c r="J22" s="47"/>
      <c r="K22" s="66" t="n">
        <f aca="false">C22</f>
        <v>0.0207</v>
      </c>
      <c r="L22" s="398" t="n">
        <f aca="false">D22</f>
        <v>14074.67184</v>
      </c>
      <c r="M22" s="398" t="n">
        <f aca="false">E22</f>
        <v>20407.97464</v>
      </c>
      <c r="N22" s="398" t="n">
        <f aca="false">F22</f>
        <v>29591.56323</v>
      </c>
      <c r="O22" s="399" t="n">
        <f aca="false">G22</f>
        <v>42907.76668</v>
      </c>
      <c r="P22" s="2"/>
      <c r="Q22" s="20" t="str">
        <f aca="false">I22</f>
        <v>Product 3 Usage Revenue**</v>
      </c>
      <c r="R22" s="47"/>
      <c r="S22" s="66" t="n">
        <f aca="false">K22</f>
        <v>0.0207</v>
      </c>
      <c r="T22" s="398" t="n">
        <f aca="false">L22</f>
        <v>14074.67184</v>
      </c>
      <c r="U22" s="398" t="n">
        <f aca="false">M22</f>
        <v>20407.97464</v>
      </c>
      <c r="V22" s="398" t="n">
        <f aca="false">N22</f>
        <v>29591.56323</v>
      </c>
      <c r="W22" s="399" t="n">
        <f aca="false">O22</f>
        <v>42907.76668</v>
      </c>
      <c r="X22" s="7"/>
      <c r="Y22" s="20" t="str">
        <f aca="false">Q22</f>
        <v>Product 3 Usage Revenue**</v>
      </c>
      <c r="Z22" s="47"/>
      <c r="AA22" s="66" t="n">
        <f aca="false">S22</f>
        <v>0.0207</v>
      </c>
      <c r="AB22" s="398" t="n">
        <f aca="false">T22</f>
        <v>14074.67184</v>
      </c>
      <c r="AC22" s="398" t="n">
        <f aca="false">U22</f>
        <v>20407.97464</v>
      </c>
      <c r="AD22" s="398" t="n">
        <f aca="false">V22</f>
        <v>29591.56323</v>
      </c>
      <c r="AE22" s="399" t="n">
        <f aca="false">W22</f>
        <v>42907.76668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customFormat="false" ht="12.75" hidden="false" customHeight="true" outlineLevel="0" collapsed="false">
      <c r="A23" s="20" t="s">
        <v>260</v>
      </c>
      <c r="B23" s="400"/>
      <c r="C23" s="144" t="n">
        <f aca="false">Inputs!AG136</f>
        <v>1.035936265</v>
      </c>
      <c r="D23" s="396" t="n">
        <f aca="false">Inputs!$AG$135/Inputs!$D$39*D16*12</f>
        <v>704370.1925</v>
      </c>
      <c r="E23" s="396" t="n">
        <f aca="false">Inputs!$AG$135/Inputs!$D$39*E16*12</f>
        <v>1021321.789</v>
      </c>
      <c r="F23" s="396" t="n">
        <f aca="false">Inputs!$AG$135/Inputs!$D$39*F16*12</f>
        <v>1480916.594</v>
      </c>
      <c r="G23" s="397" t="n">
        <f aca="false">Inputs!$AG$135/Inputs!$D$39*G16*12</f>
        <v>2147329.061</v>
      </c>
      <c r="H23" s="2"/>
      <c r="I23" s="20" t="str">
        <f aca="false">A23</f>
        <v>Product 1 "Breakage" Revenue</v>
      </c>
      <c r="J23" s="47"/>
      <c r="K23" s="66" t="n">
        <f aca="false">C23</f>
        <v>1.035936265</v>
      </c>
      <c r="L23" s="398" t="n">
        <f aca="false">D23</f>
        <v>704370.1925</v>
      </c>
      <c r="M23" s="398" t="n">
        <f aca="false">E23</f>
        <v>1021321.789</v>
      </c>
      <c r="N23" s="398" t="n">
        <f aca="false">F23</f>
        <v>1480916.594</v>
      </c>
      <c r="O23" s="399" t="n">
        <f aca="false">G23</f>
        <v>2147329.061</v>
      </c>
      <c r="P23" s="2"/>
      <c r="Q23" s="20" t="str">
        <f aca="false">I23</f>
        <v>Product 1 "Breakage" Revenue</v>
      </c>
      <c r="R23" s="47"/>
      <c r="S23" s="66" t="n">
        <f aca="false">K23</f>
        <v>1.035936265</v>
      </c>
      <c r="T23" s="398" t="n">
        <f aca="false">L23</f>
        <v>704370.1925</v>
      </c>
      <c r="U23" s="398" t="n">
        <f aca="false">M23</f>
        <v>1021321.789</v>
      </c>
      <c r="V23" s="398" t="n">
        <f aca="false">N23</f>
        <v>1480916.594</v>
      </c>
      <c r="W23" s="399" t="n">
        <f aca="false">O23</f>
        <v>2147329.061</v>
      </c>
      <c r="X23" s="7"/>
      <c r="Y23" s="20" t="str">
        <f aca="false">Q23</f>
        <v>Product 1 "Breakage" Revenue</v>
      </c>
      <c r="Z23" s="47"/>
      <c r="AA23" s="66" t="n">
        <f aca="false">S23</f>
        <v>1.035936265</v>
      </c>
      <c r="AB23" s="398" t="n">
        <f aca="false">T23</f>
        <v>704370.1925</v>
      </c>
      <c r="AC23" s="398" t="n">
        <f aca="false">U23</f>
        <v>1021321.789</v>
      </c>
      <c r="AD23" s="398" t="n">
        <f aca="false">V23</f>
        <v>1480916.594</v>
      </c>
      <c r="AE23" s="399" t="n">
        <f aca="false">W23</f>
        <v>2147329.061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customFormat="false" ht="12.75" hidden="false" customHeight="true" outlineLevel="0" collapsed="false">
      <c r="A24" s="20" t="s">
        <v>261</v>
      </c>
      <c r="B24" s="7"/>
      <c r="C24" s="7" t="n">
        <f aca="false">Inputs!AH136</f>
        <v>0</v>
      </c>
      <c r="D24" s="396" t="n">
        <f aca="false">Inputs!$AH$135/Inputs!$D$39*D16*12</f>
        <v>0</v>
      </c>
      <c r="E24" s="396" t="n">
        <f aca="false">Inputs!$AH$135/Inputs!$D$39*E16*12</f>
        <v>0</v>
      </c>
      <c r="F24" s="396" t="n">
        <f aca="false">Inputs!$AH$135/Inputs!$D$39*F16*12</f>
        <v>0</v>
      </c>
      <c r="G24" s="397" t="n">
        <f aca="false">Inputs!$AH$135/Inputs!$D$39*G16*12</f>
        <v>0</v>
      </c>
      <c r="H24" s="2"/>
      <c r="I24" s="20" t="str">
        <f aca="false">A24</f>
        <v>Product 2 "Breakage" Revenue</v>
      </c>
      <c r="J24" s="47"/>
      <c r="K24" s="66" t="n">
        <f aca="false">C24</f>
        <v>0</v>
      </c>
      <c r="L24" s="398" t="n">
        <f aca="false">D24</f>
        <v>0</v>
      </c>
      <c r="M24" s="398" t="n">
        <f aca="false">E24</f>
        <v>0</v>
      </c>
      <c r="N24" s="398" t="n">
        <f aca="false">F24</f>
        <v>0</v>
      </c>
      <c r="O24" s="399" t="n">
        <f aca="false">G24</f>
        <v>0</v>
      </c>
      <c r="P24" s="2"/>
      <c r="Q24" s="20" t="str">
        <f aca="false">I24</f>
        <v>Product 2 "Breakage" Revenue</v>
      </c>
      <c r="R24" s="47"/>
      <c r="S24" s="66" t="n">
        <f aca="false">K24</f>
        <v>0</v>
      </c>
      <c r="T24" s="398" t="n">
        <f aca="false">L24</f>
        <v>0</v>
      </c>
      <c r="U24" s="398" t="n">
        <f aca="false">M24</f>
        <v>0</v>
      </c>
      <c r="V24" s="398" t="n">
        <f aca="false">N24</f>
        <v>0</v>
      </c>
      <c r="W24" s="399" t="n">
        <f aca="false">O24</f>
        <v>0</v>
      </c>
      <c r="X24" s="7"/>
      <c r="Y24" s="20" t="str">
        <f aca="false">Q24</f>
        <v>Product 2 "Breakage" Revenue</v>
      </c>
      <c r="Z24" s="47"/>
      <c r="AA24" s="66" t="n">
        <f aca="false">S24</f>
        <v>0</v>
      </c>
      <c r="AB24" s="398" t="n">
        <f aca="false">T24</f>
        <v>0</v>
      </c>
      <c r="AC24" s="398" t="n">
        <f aca="false">U24</f>
        <v>0</v>
      </c>
      <c r="AD24" s="398" t="n">
        <f aca="false">V24</f>
        <v>0</v>
      </c>
      <c r="AE24" s="399" t="n">
        <f aca="false">W24</f>
        <v>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customFormat="false" ht="12.75" hidden="false" customHeight="true" outlineLevel="0" collapsed="false">
      <c r="A25" s="20" t="s">
        <v>134</v>
      </c>
      <c r="B25" s="7"/>
      <c r="C25" s="7" t="n">
        <f aca="false">Inputs!AI136</f>
        <v>2.125889767</v>
      </c>
      <c r="D25" s="396" t="n">
        <f aca="false">Inputs!$AI$135/Inputs!$D$39*D16*12</f>
        <v>1445468.64</v>
      </c>
      <c r="E25" s="396" t="n">
        <f aca="false">Inputs!$AI$135/Inputs!$D$39*E16*12</f>
        <v>2095898.766</v>
      </c>
      <c r="F25" s="396" t="n">
        <f aca="false">Inputs!$AI$135/Inputs!$D$39*F16*12</f>
        <v>3039053.211</v>
      </c>
      <c r="G25" s="397" t="n">
        <f aca="false">Inputs!$AI$135/Inputs!$D$39*G16*12</f>
        <v>4406627.156</v>
      </c>
      <c r="H25" s="2"/>
      <c r="I25" s="20" t="str">
        <f aca="false">A25</f>
        <v>Daily Charge</v>
      </c>
      <c r="J25" s="47"/>
      <c r="K25" s="66" t="n">
        <f aca="false">C25</f>
        <v>2.125889767</v>
      </c>
      <c r="L25" s="398" t="n">
        <f aca="false">D25</f>
        <v>1445468.64</v>
      </c>
      <c r="M25" s="398" t="n">
        <f aca="false">E25</f>
        <v>2095898.766</v>
      </c>
      <c r="N25" s="398" t="n">
        <f aca="false">F25</f>
        <v>3039053.211</v>
      </c>
      <c r="O25" s="399" t="n">
        <f aca="false">G25</f>
        <v>4406627.156</v>
      </c>
      <c r="P25" s="2"/>
      <c r="Q25" s="20" t="str">
        <f aca="false">I25</f>
        <v>Daily Charge</v>
      </c>
      <c r="R25" s="47"/>
      <c r="S25" s="66" t="n">
        <f aca="false">K25</f>
        <v>2.125889767</v>
      </c>
      <c r="T25" s="398" t="n">
        <f aca="false">L25</f>
        <v>1445468.64</v>
      </c>
      <c r="U25" s="398" t="n">
        <f aca="false">M25</f>
        <v>2095898.766</v>
      </c>
      <c r="V25" s="398" t="n">
        <f aca="false">N25</f>
        <v>3039053.211</v>
      </c>
      <c r="W25" s="399" t="n">
        <f aca="false">O25</f>
        <v>4406627.156</v>
      </c>
      <c r="X25" s="7"/>
      <c r="Y25" s="20" t="str">
        <f aca="false">Q25</f>
        <v>Daily Charge</v>
      </c>
      <c r="Z25" s="47"/>
      <c r="AA25" s="66" t="n">
        <f aca="false">S25</f>
        <v>2.125889767</v>
      </c>
      <c r="AB25" s="398" t="n">
        <f aca="false">T25</f>
        <v>1445468.64</v>
      </c>
      <c r="AC25" s="398" t="n">
        <f aca="false">U25</f>
        <v>2095898.766</v>
      </c>
      <c r="AD25" s="398" t="n">
        <f aca="false">V25</f>
        <v>3039053.211</v>
      </c>
      <c r="AE25" s="399" t="n">
        <f aca="false">W25</f>
        <v>4406627.156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customFormat="false" ht="12.75" hidden="false" customHeight="true" outlineLevel="0" collapsed="false">
      <c r="A26" s="20" t="s">
        <v>38</v>
      </c>
      <c r="B26" s="2"/>
      <c r="C26" s="401" t="n">
        <v>0.1</v>
      </c>
      <c r="D26" s="402" t="n">
        <v>0</v>
      </c>
      <c r="E26" s="402" t="n">
        <v>0</v>
      </c>
      <c r="F26" s="402" t="n">
        <v>0</v>
      </c>
      <c r="G26" s="403" t="n">
        <v>0</v>
      </c>
      <c r="H26" s="2"/>
      <c r="I26" s="20" t="str">
        <f aca="false">A26</f>
        <v>Product 4</v>
      </c>
      <c r="J26" s="47"/>
      <c r="K26" s="401" t="n">
        <f aca="false">C26</f>
        <v>0.1</v>
      </c>
      <c r="L26" s="398" t="n">
        <f aca="false">D26</f>
        <v>0</v>
      </c>
      <c r="M26" s="398" t="n">
        <f aca="false">E26</f>
        <v>0</v>
      </c>
      <c r="N26" s="398" t="n">
        <f aca="false">F26</f>
        <v>0</v>
      </c>
      <c r="O26" s="399" t="n">
        <f aca="false">G26</f>
        <v>0</v>
      </c>
      <c r="P26" s="2"/>
      <c r="Q26" s="20" t="str">
        <f aca="false">I26</f>
        <v>Product 4</v>
      </c>
      <c r="R26" s="47"/>
      <c r="S26" s="401" t="n">
        <f aca="false">K26</f>
        <v>0.1</v>
      </c>
      <c r="T26" s="398" t="n">
        <f aca="false">L26</f>
        <v>0</v>
      </c>
      <c r="U26" s="398" t="n">
        <f aca="false">M26</f>
        <v>0</v>
      </c>
      <c r="V26" s="398" t="n">
        <f aca="false">N26</f>
        <v>0</v>
      </c>
      <c r="W26" s="399" t="n">
        <f aca="false">O26</f>
        <v>0</v>
      </c>
      <c r="X26" s="7"/>
      <c r="Y26" s="20" t="str">
        <f aca="false">Q26</f>
        <v>Product 4</v>
      </c>
      <c r="Z26" s="47"/>
      <c r="AA26" s="401" t="n">
        <f aca="false">S26</f>
        <v>0.1</v>
      </c>
      <c r="AB26" s="398" t="n">
        <f aca="false">T26</f>
        <v>0</v>
      </c>
      <c r="AC26" s="398" t="n">
        <f aca="false">U26</f>
        <v>0</v>
      </c>
      <c r="AD26" s="398" t="n">
        <f aca="false">V26</f>
        <v>0</v>
      </c>
      <c r="AE26" s="399" t="n">
        <f aca="false">W26</f>
        <v>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customFormat="false" ht="12.75" hidden="false" customHeight="true" outlineLevel="0" collapsed="false">
      <c r="A27" s="20" t="s">
        <v>262</v>
      </c>
      <c r="B27" s="7" t="n">
        <f aca="false">Inputs!E15</f>
        <v>56.4</v>
      </c>
      <c r="C27" s="7"/>
      <c r="D27" s="396" t="n">
        <f aca="false">D$69*$B$27</f>
        <v>3151068</v>
      </c>
      <c r="E27" s="396" t="n">
        <f aca="false">E69*$B$27</f>
        <v>3308554.3404</v>
      </c>
      <c r="F27" s="396" t="n">
        <f aca="false">F69*$B$27</f>
        <v>4797476.49318</v>
      </c>
      <c r="G27" s="397" t="n">
        <f aca="false">G69*$B$27</f>
        <v>6956276.0551392</v>
      </c>
      <c r="H27" s="2"/>
      <c r="I27" s="20" t="str">
        <f aca="false">A27</f>
        <v>Customer Equipment Sales</v>
      </c>
      <c r="J27" s="66" t="n">
        <f aca="false">B27</f>
        <v>56.4</v>
      </c>
      <c r="K27" s="47"/>
      <c r="L27" s="398" t="n">
        <f aca="false">D27</f>
        <v>3151068</v>
      </c>
      <c r="M27" s="398" t="n">
        <f aca="false">E27</f>
        <v>3308554.3404</v>
      </c>
      <c r="N27" s="398" t="n">
        <f aca="false">F27</f>
        <v>4797476.49318</v>
      </c>
      <c r="O27" s="399" t="n">
        <f aca="false">G27</f>
        <v>6956276.0551392</v>
      </c>
      <c r="P27" s="2"/>
      <c r="Q27" s="20" t="str">
        <f aca="false">I27</f>
        <v>Customer Equipment Sales</v>
      </c>
      <c r="R27" s="66" t="n">
        <f aca="false">J27</f>
        <v>56.4</v>
      </c>
      <c r="S27" s="47"/>
      <c r="T27" s="398" t="n">
        <f aca="false">L27</f>
        <v>3151068</v>
      </c>
      <c r="U27" s="398" t="n">
        <f aca="false">M27</f>
        <v>3308554.3404</v>
      </c>
      <c r="V27" s="398" t="n">
        <f aca="false">N27</f>
        <v>4797476.49318</v>
      </c>
      <c r="W27" s="399" t="n">
        <f aca="false">O27</f>
        <v>6956276.0551392</v>
      </c>
      <c r="X27" s="2"/>
      <c r="Y27" s="20" t="str">
        <f aca="false">Q27</f>
        <v>Customer Equipment Sales</v>
      </c>
      <c r="Z27" s="66" t="n">
        <f aca="false">R27</f>
        <v>56.4</v>
      </c>
      <c r="AA27" s="47"/>
      <c r="AB27" s="398" t="n">
        <f aca="false">T27</f>
        <v>3151068</v>
      </c>
      <c r="AC27" s="398" t="n">
        <f aca="false">U27</f>
        <v>3308554.3404</v>
      </c>
      <c r="AD27" s="398" t="n">
        <f aca="false">V27</f>
        <v>4797476.49318</v>
      </c>
      <c r="AE27" s="399" t="n">
        <f aca="false">W27</f>
        <v>6956276.0551392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customFormat="false" ht="12.75" hidden="false" customHeight="true" outlineLevel="0" collapsed="false">
      <c r="A28" s="20" t="s">
        <v>263</v>
      </c>
      <c r="B28" s="7" t="n">
        <f aca="false">Inputs!E14</f>
        <v>0</v>
      </c>
      <c r="C28" s="7"/>
      <c r="D28" s="404" t="n">
        <f aca="false">D$69*$B$28</f>
        <v>0</v>
      </c>
      <c r="E28" s="404" t="n">
        <f aca="false">E$69*$B$28</f>
        <v>0</v>
      </c>
      <c r="F28" s="404" t="n">
        <f aca="false">F$69*$B$28</f>
        <v>0</v>
      </c>
      <c r="G28" s="405" t="n">
        <f aca="false">G$69*$B$28</f>
        <v>0</v>
      </c>
      <c r="H28" s="2"/>
      <c r="I28" s="20" t="str">
        <f aca="false">A28</f>
        <v>Customer Activation Fees</v>
      </c>
      <c r="J28" s="66" t="n">
        <f aca="false">B28</f>
        <v>0</v>
      </c>
      <c r="K28" s="47"/>
      <c r="L28" s="406" t="n">
        <f aca="false">D28</f>
        <v>0</v>
      </c>
      <c r="M28" s="406" t="n">
        <f aca="false">E28</f>
        <v>0</v>
      </c>
      <c r="N28" s="406" t="n">
        <f aca="false">F28</f>
        <v>0</v>
      </c>
      <c r="O28" s="407" t="n">
        <f aca="false">G28</f>
        <v>0</v>
      </c>
      <c r="P28" s="2"/>
      <c r="Q28" s="20" t="str">
        <f aca="false">I28</f>
        <v>Customer Activation Fees</v>
      </c>
      <c r="R28" s="66" t="n">
        <f aca="false">J28</f>
        <v>0</v>
      </c>
      <c r="S28" s="47"/>
      <c r="T28" s="406" t="n">
        <f aca="false">L28</f>
        <v>0</v>
      </c>
      <c r="U28" s="406" t="n">
        <f aca="false">M28</f>
        <v>0</v>
      </c>
      <c r="V28" s="406" t="n">
        <f aca="false">N28</f>
        <v>0</v>
      </c>
      <c r="W28" s="407" t="n">
        <f aca="false">O28</f>
        <v>0</v>
      </c>
      <c r="X28" s="2"/>
      <c r="Y28" s="20" t="str">
        <f aca="false">Q28</f>
        <v>Customer Activation Fees</v>
      </c>
      <c r="Z28" s="66" t="n">
        <f aca="false">R28</f>
        <v>0</v>
      </c>
      <c r="AA28" s="47"/>
      <c r="AB28" s="406" t="n">
        <f aca="false">T28</f>
        <v>0</v>
      </c>
      <c r="AC28" s="406" t="n">
        <f aca="false">U28</f>
        <v>0</v>
      </c>
      <c r="AD28" s="406" t="n">
        <f aca="false">V28</f>
        <v>0</v>
      </c>
      <c r="AE28" s="407" t="n">
        <f aca="false">W28</f>
        <v>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customFormat="false" ht="12.75" hidden="false" customHeight="true" outlineLevel="0" collapsed="false">
      <c r="A29" s="392" t="s">
        <v>173</v>
      </c>
      <c r="B29" s="395"/>
      <c r="C29" s="395"/>
      <c r="D29" s="408" t="n">
        <f aca="false">SUM(D19:D28)</f>
        <v>34033755.69934</v>
      </c>
      <c r="E29" s="408" t="n">
        <f aca="false">SUM(E19:E28)</f>
        <v>48087794.27004</v>
      </c>
      <c r="F29" s="408" t="n">
        <f aca="false">SUM(F19:F28)</f>
        <v>69727374.38241</v>
      </c>
      <c r="G29" s="409" t="n">
        <f aca="false">SUM(G19:G28)</f>
        <v>101104628.005819</v>
      </c>
      <c r="H29" s="2"/>
      <c r="I29" s="392" t="str">
        <f aca="false">A29</f>
        <v>Total Revenue</v>
      </c>
      <c r="J29" s="91"/>
      <c r="K29" s="91"/>
      <c r="L29" s="410" t="n">
        <f aca="false">D29</f>
        <v>34033755.69934</v>
      </c>
      <c r="M29" s="410" t="n">
        <f aca="false">E29</f>
        <v>48087794.27004</v>
      </c>
      <c r="N29" s="410" t="n">
        <f aca="false">F29</f>
        <v>69727374.38241</v>
      </c>
      <c r="O29" s="411" t="n">
        <f aca="false">G29</f>
        <v>101104628.005819</v>
      </c>
      <c r="P29" s="2"/>
      <c r="Q29" s="392" t="str">
        <f aca="false">I29</f>
        <v>Total Revenue</v>
      </c>
      <c r="R29" s="91"/>
      <c r="S29" s="91"/>
      <c r="T29" s="410" t="n">
        <f aca="false">L29</f>
        <v>34033755.69934</v>
      </c>
      <c r="U29" s="410" t="n">
        <f aca="false">M29</f>
        <v>48087794.27004</v>
      </c>
      <c r="V29" s="410" t="n">
        <f aca="false">N29</f>
        <v>69727374.38241</v>
      </c>
      <c r="W29" s="411" t="n">
        <f aca="false">O29</f>
        <v>101104628.005819</v>
      </c>
      <c r="X29" s="2"/>
      <c r="Y29" s="392" t="str">
        <f aca="false">Q29</f>
        <v>Total Revenue</v>
      </c>
      <c r="Z29" s="91"/>
      <c r="AA29" s="91"/>
      <c r="AB29" s="410" t="n">
        <f aca="false">T29</f>
        <v>34033755.69934</v>
      </c>
      <c r="AC29" s="410" t="n">
        <f aca="false">U29</f>
        <v>48087794.27004</v>
      </c>
      <c r="AD29" s="410" t="n">
        <f aca="false">V29</f>
        <v>69727374.38241</v>
      </c>
      <c r="AE29" s="411" t="n">
        <f aca="false">W29</f>
        <v>101104628.005819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customFormat="false" ht="12.75" hidden="false" customHeight="true" outlineLevel="0" collapsed="false">
      <c r="A30" s="392"/>
      <c r="B30" s="412"/>
      <c r="C30" s="412"/>
      <c r="D30" s="408"/>
      <c r="E30" s="408"/>
      <c r="F30" s="408"/>
      <c r="G30" s="409"/>
      <c r="H30" s="2"/>
      <c r="I30" s="56"/>
      <c r="J30" s="2"/>
      <c r="K30" s="2"/>
      <c r="L30" s="2"/>
      <c r="M30" s="2"/>
      <c r="N30" s="2"/>
      <c r="O30" s="25"/>
      <c r="P30" s="2"/>
      <c r="Q30" s="138"/>
      <c r="R30" s="2"/>
      <c r="S30" s="2"/>
      <c r="T30" s="413"/>
      <c r="U30" s="413"/>
      <c r="V30" s="413"/>
      <c r="W30" s="397"/>
      <c r="X30" s="2"/>
      <c r="Y30" s="20"/>
      <c r="Z30" s="2"/>
      <c r="AA30" s="414"/>
      <c r="AB30" s="66"/>
      <c r="AC30" s="66"/>
      <c r="AD30" s="66"/>
      <c r="AE30" s="77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customFormat="false" ht="12.75" hidden="false" customHeight="true" outlineLevel="0" collapsed="false">
      <c r="A31" s="61" t="s">
        <v>264</v>
      </c>
      <c r="B31" s="395" t="s">
        <v>254</v>
      </c>
      <c r="C31" s="395" t="s">
        <v>255</v>
      </c>
      <c r="D31" s="396"/>
      <c r="E31" s="396"/>
      <c r="F31" s="396"/>
      <c r="G31" s="397"/>
      <c r="H31" s="2"/>
      <c r="I31" s="185" t="s">
        <v>265</v>
      </c>
      <c r="J31" s="395" t="s">
        <v>254</v>
      </c>
      <c r="K31" s="395" t="s">
        <v>255</v>
      </c>
      <c r="L31" s="408"/>
      <c r="M31" s="408"/>
      <c r="N31" s="408"/>
      <c r="O31" s="409"/>
      <c r="P31" s="2"/>
      <c r="Q31" s="61" t="s">
        <v>244</v>
      </c>
      <c r="R31" s="395" t="s">
        <v>254</v>
      </c>
      <c r="S31" s="395" t="s">
        <v>255</v>
      </c>
      <c r="T31" s="396"/>
      <c r="U31" s="396"/>
      <c r="V31" s="396"/>
      <c r="W31" s="397"/>
      <c r="X31" s="2"/>
      <c r="Y31" s="61" t="s">
        <v>266</v>
      </c>
      <c r="Z31" s="395" t="s">
        <v>254</v>
      </c>
      <c r="AA31" s="395" t="s">
        <v>255</v>
      </c>
      <c r="AB31" s="396"/>
      <c r="AC31" s="396"/>
      <c r="AD31" s="396"/>
      <c r="AE31" s="397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customFormat="false" ht="12.75" hidden="false" customHeight="true" outlineLevel="0" collapsed="false">
      <c r="A32" s="20" t="s">
        <v>267</v>
      </c>
      <c r="B32" s="2"/>
      <c r="C32" s="401" t="n">
        <v>0.1</v>
      </c>
      <c r="D32" s="396" t="n">
        <f aca="false">$C$32*D66</f>
        <v>474566.85</v>
      </c>
      <c r="E32" s="396" t="n">
        <f aca="false">$C$32*E66</f>
        <v>688121.9325</v>
      </c>
      <c r="F32" s="396" t="n">
        <f aca="false">$C$32*F66</f>
        <v>997776.802125</v>
      </c>
      <c r="G32" s="397" t="n">
        <f aca="false">$C$32*G66</f>
        <v>1446776.36308125</v>
      </c>
      <c r="H32" s="2"/>
      <c r="I32" s="20" t="str">
        <f aca="false">A32</f>
        <v>Branding License Fee</v>
      </c>
      <c r="J32" s="47"/>
      <c r="K32" s="401" t="n">
        <f aca="false">C32</f>
        <v>0.1</v>
      </c>
      <c r="L32" s="398" t="n">
        <f aca="false">D32</f>
        <v>474566.85</v>
      </c>
      <c r="M32" s="398" t="n">
        <f aca="false">E32</f>
        <v>688121.9325</v>
      </c>
      <c r="N32" s="398" t="n">
        <f aca="false">F32</f>
        <v>997776.802125</v>
      </c>
      <c r="O32" s="399" t="n">
        <f aca="false">G32</f>
        <v>1446776.36308125</v>
      </c>
      <c r="P32" s="2"/>
      <c r="Q32" s="20" t="str">
        <f aca="false">I32</f>
        <v>Branding License Fee</v>
      </c>
      <c r="R32" s="47"/>
      <c r="S32" s="401" t="n">
        <f aca="false">K32</f>
        <v>0.1</v>
      </c>
      <c r="T32" s="398" t="n">
        <f aca="false">L32</f>
        <v>474566.85</v>
      </c>
      <c r="U32" s="398" t="n">
        <f aca="false">M32</f>
        <v>688121.9325</v>
      </c>
      <c r="V32" s="398" t="n">
        <f aca="false">N32</f>
        <v>997776.802125</v>
      </c>
      <c r="W32" s="399" t="n">
        <f aca="false">O32</f>
        <v>1446776.36308125</v>
      </c>
      <c r="X32" s="2"/>
      <c r="Y32" s="20" t="str">
        <f aca="false">Q32</f>
        <v>Branding License Fee</v>
      </c>
      <c r="Z32" s="47"/>
      <c r="AA32" s="401" t="n">
        <f aca="false">S32</f>
        <v>0.1</v>
      </c>
      <c r="AB32" s="398" t="n">
        <f aca="false">T32</f>
        <v>474566.85</v>
      </c>
      <c r="AC32" s="398" t="n">
        <f aca="false">U32</f>
        <v>688121.9325</v>
      </c>
      <c r="AD32" s="398" t="n">
        <f aca="false">V32</f>
        <v>997776.802125</v>
      </c>
      <c r="AE32" s="399" t="n">
        <f aca="false">W32</f>
        <v>1446776.36308125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customFormat="false" ht="12.75" hidden="false" customHeight="true" outlineLevel="0" collapsed="false">
      <c r="A33" s="20" t="s">
        <v>268</v>
      </c>
      <c r="B33" s="400"/>
      <c r="C33" s="401" t="n">
        <v>0.15</v>
      </c>
      <c r="D33" s="396" t="n">
        <f aca="false">$C$33*D75</f>
        <v>2638421.80675933</v>
      </c>
      <c r="E33" s="396" t="n">
        <f aca="false">$C$33*E75</f>
        <v>3825655.4701048</v>
      </c>
      <c r="F33" s="396" t="n">
        <f aca="false">$C$33*F75</f>
        <v>5547200.43165197</v>
      </c>
      <c r="G33" s="397" t="n">
        <f aca="false">$C$33*G75</f>
        <v>8043440.62591897</v>
      </c>
      <c r="H33" s="2"/>
      <c r="I33" s="20" t="str">
        <f aca="false">A33</f>
        <v>Dealer Product 1 Commission</v>
      </c>
      <c r="J33" s="47"/>
      <c r="K33" s="401" t="n">
        <f aca="false">C33</f>
        <v>0.15</v>
      </c>
      <c r="L33" s="398" t="n">
        <f aca="false">D33</f>
        <v>2638421.80675933</v>
      </c>
      <c r="M33" s="398" t="n">
        <f aca="false">E33</f>
        <v>3825655.4701048</v>
      </c>
      <c r="N33" s="398" t="n">
        <f aca="false">F33</f>
        <v>5547200.43165197</v>
      </c>
      <c r="O33" s="399" t="n">
        <f aca="false">G33</f>
        <v>8043440.62591897</v>
      </c>
      <c r="P33" s="2"/>
      <c r="Q33" s="20" t="str">
        <f aca="false">I33</f>
        <v>Dealer Product 1 Commission</v>
      </c>
      <c r="R33" s="47"/>
      <c r="S33" s="401" t="n">
        <f aca="false">K33</f>
        <v>0.15</v>
      </c>
      <c r="T33" s="398" t="n">
        <f aca="false">L33</f>
        <v>2638421.80675933</v>
      </c>
      <c r="U33" s="398" t="n">
        <f aca="false">M33</f>
        <v>3825655.4701048</v>
      </c>
      <c r="V33" s="398" t="n">
        <f aca="false">N33</f>
        <v>5547200.43165197</v>
      </c>
      <c r="W33" s="399" t="n">
        <f aca="false">O33</f>
        <v>8043440.62591897</v>
      </c>
      <c r="X33" s="2"/>
      <c r="Y33" s="20" t="s">
        <v>269</v>
      </c>
      <c r="Z33" s="3"/>
      <c r="AA33" s="415" t="n">
        <f aca="false">Inputs!V24</f>
        <v>0.0968904814320429</v>
      </c>
      <c r="AB33" s="398" t="n">
        <f aca="false">$AA33*D77</f>
        <v>15086362.1373759</v>
      </c>
      <c r="AC33" s="398" t="n">
        <f aca="false">$AA33*E77</f>
        <v>21874904.0467715</v>
      </c>
      <c r="AD33" s="398" t="n">
        <f aca="false">$AA33*F77</f>
        <v>31718610.869272</v>
      </c>
      <c r="AE33" s="399" t="n">
        <f aca="false">$AA33*G77</f>
        <v>45991985.7502709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customFormat="false" ht="12.75" hidden="false" customHeight="true" outlineLevel="0" collapsed="false">
      <c r="A34" s="20" t="s">
        <v>270</v>
      </c>
      <c r="B34" s="2"/>
      <c r="C34" s="416" t="n">
        <f aca="false">Inputs!AJ136</f>
        <v>9.44932946259895</v>
      </c>
      <c r="D34" s="396" t="n">
        <f aca="false">$C$34*12*D16</f>
        <v>6335208.44490484</v>
      </c>
      <c r="E34" s="396" t="n">
        <f aca="false">$C$34*12*E16</f>
        <v>9185917.42207924</v>
      </c>
      <c r="F34" s="396" t="n">
        <f aca="false">$C$34*12*F16</f>
        <v>13319580.2620149</v>
      </c>
      <c r="G34" s="397" t="n">
        <f aca="false">$C$34*12*G16</f>
        <v>19313391.3799783</v>
      </c>
      <c r="H34" s="2"/>
      <c r="I34" s="20" t="s">
        <v>271</v>
      </c>
      <c r="J34" s="2"/>
      <c r="K34" s="144" t="n">
        <f aca="false">Inputs!C2</f>
        <v>5.27</v>
      </c>
      <c r="L34" s="396" t="n">
        <f aca="false">$K$34*12*L16</f>
        <v>3533218.8</v>
      </c>
      <c r="M34" s="396" t="n">
        <f aca="false">$K$34*12*M16</f>
        <v>5123092.06764</v>
      </c>
      <c r="N34" s="396" t="n">
        <f aca="false">$K$34*12*N16</f>
        <v>7428483.498078</v>
      </c>
      <c r="O34" s="397" t="n">
        <f aca="false">$K$34*12*O16</f>
        <v>10771301.0722447</v>
      </c>
      <c r="P34" s="2"/>
      <c r="Q34" s="20" t="str">
        <f aca="false">Inputs!B3</f>
        <v>Per service component 1</v>
      </c>
      <c r="R34" s="3"/>
      <c r="S34" s="66" t="n">
        <f aca="false">Inputs!C3</f>
        <v>3.37</v>
      </c>
      <c r="T34" s="66" t="n">
        <f aca="false">$S$34*12*T16</f>
        <v>2259349.6392</v>
      </c>
      <c r="U34" s="66" t="n">
        <f aca="false">$S$34*12*U16</f>
        <v>3276056.97684</v>
      </c>
      <c r="V34" s="66" t="n">
        <f aca="false">$S$34*12*V16</f>
        <v>4750282.616418</v>
      </c>
      <c r="W34" s="77" t="n">
        <f aca="false">$S$34*12*W16</f>
        <v>6887909.79382632</v>
      </c>
      <c r="X34" s="2"/>
      <c r="Y34" s="20" t="s">
        <v>272</v>
      </c>
      <c r="Z34" s="3"/>
      <c r="AA34" s="415" t="n">
        <f aca="false">Inputs!V25</f>
        <v>0.0558455110893591</v>
      </c>
      <c r="AB34" s="398" t="n">
        <f aca="false">$AA34*D78</f>
        <v>3531336.88610031</v>
      </c>
      <c r="AC34" s="398" t="n">
        <f aca="false">$AA34*E78</f>
        <v>5120363.33301064</v>
      </c>
      <c r="AD34" s="398" t="n">
        <f aca="false">$AA34*F78</f>
        <v>7424526.83205566</v>
      </c>
      <c r="AE34" s="399" t="n">
        <f aca="false">$AA34*G78</f>
        <v>10765563.9062015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customFormat="false" ht="12.75" hidden="false" customHeight="true" outlineLevel="0" collapsed="false">
      <c r="A35" s="20" t="s">
        <v>273</v>
      </c>
      <c r="B35" s="417"/>
      <c r="C35" s="416" t="n">
        <f aca="false">Inputs!AL136</f>
        <v>11.5355068</v>
      </c>
      <c r="D35" s="396" t="n">
        <f aca="false">$C$35*12*D16</f>
        <v>7733865.178992</v>
      </c>
      <c r="E35" s="396" t="n">
        <f aca="false">$C$35*12*E16</f>
        <v>11213939.9209274</v>
      </c>
      <c r="F35" s="396" t="n">
        <f aca="false">$C$35*12*F16</f>
        <v>16260212.8853447</v>
      </c>
      <c r="G35" s="397" t="n">
        <f aca="false">$C$35*12*G16</f>
        <v>23577308.683819</v>
      </c>
      <c r="H35" s="2"/>
      <c r="I35" s="20" t="s">
        <v>274</v>
      </c>
      <c r="J35" s="400"/>
      <c r="K35" s="416" t="n">
        <f aca="false">Inputs!C8</f>
        <v>0.0641</v>
      </c>
      <c r="L35" s="396" t="n">
        <f aca="false">$K35*Inputs!$C$23*12*L16*(L$16/$L$16)</f>
        <v>9841321.716</v>
      </c>
      <c r="M35" s="396" t="n">
        <f aca="false">$K35*Inputs!$C$23*12*L16*(M$16/$L$16)</f>
        <v>14269707.05</v>
      </c>
      <c r="N35" s="396" t="n">
        <f aca="false">$K35*Inputs!$C$23*12*L16*(N$16/$L$16)</f>
        <v>20691075.22</v>
      </c>
      <c r="O35" s="396" t="n">
        <f aca="false">$K35*Inputs!$C$23*12*L16*(O$16/$L$16)</f>
        <v>30002059.07</v>
      </c>
      <c r="P35" s="2"/>
      <c r="Q35" s="20" t="str">
        <f aca="false">Inputs!B4</f>
        <v>Per service component 2</v>
      </c>
      <c r="R35" s="3"/>
      <c r="S35" s="66" t="n">
        <f aca="false">Inputs!C4</f>
        <v>0.35</v>
      </c>
      <c r="T35" s="66" t="n">
        <f aca="false">$S$35*12*T16</f>
        <v>234650.556</v>
      </c>
      <c r="U35" s="66" t="n">
        <f aca="false">$S$35*12*U16</f>
        <v>340243.3062</v>
      </c>
      <c r="V35" s="66" t="n">
        <f aca="false">$S$35*12*V16</f>
        <v>493352.79399</v>
      </c>
      <c r="W35" s="77" t="n">
        <f aca="false">$S$35*12*W16</f>
        <v>715361.5512876</v>
      </c>
      <c r="X35" s="2"/>
      <c r="Y35" s="20" t="s">
        <v>275</v>
      </c>
      <c r="Z35" s="3"/>
      <c r="AA35" s="415" t="n">
        <f aca="false">Inputs!V26</f>
        <v>0.0358455110893591</v>
      </c>
      <c r="AB35" s="406" t="n">
        <f aca="false">$AA35*D79</f>
        <v>420.428171266509</v>
      </c>
      <c r="AC35" s="406" t="n">
        <f aca="false">$AA35*E79</f>
        <v>609.611900938415</v>
      </c>
      <c r="AD35" s="406" t="n">
        <f aca="false">$AA35*F79</f>
        <v>883.93725641447</v>
      </c>
      <c r="AE35" s="407" t="n">
        <f aca="false">$AA35*G79</f>
        <v>1281.70902183683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customFormat="false" ht="12.75" hidden="false" customHeight="true" outlineLevel="0" collapsed="false">
      <c r="A36" s="20" t="s">
        <v>276</v>
      </c>
      <c r="B36" s="7"/>
      <c r="C36" s="416" t="n">
        <f aca="false">Inputs!AM136</f>
        <v>3.72</v>
      </c>
      <c r="D36" s="396" t="n">
        <f aca="false">$C$36*12*D16</f>
        <v>2494036.8</v>
      </c>
      <c r="E36" s="396" t="n">
        <f aca="false">$C$36*12*E16</f>
        <v>3616300.28304</v>
      </c>
      <c r="F36" s="396" t="n">
        <f aca="false">$C$36*12*F16</f>
        <v>5243635.410408</v>
      </c>
      <c r="G36" s="397" t="n">
        <f aca="false">$C$36*12*G16</f>
        <v>7603271.34511392</v>
      </c>
      <c r="H36" s="2"/>
      <c r="I36" s="20" t="s">
        <v>277</v>
      </c>
      <c r="J36" s="417"/>
      <c r="K36" s="416" t="n">
        <f aca="false">Inputs!C9</f>
        <v>0.04</v>
      </c>
      <c r="L36" s="396" t="n">
        <f aca="false">$K36*Inputs!$C$24*12*$L16*(L$16/$L$16)</f>
        <v>2494036.8</v>
      </c>
      <c r="M36" s="396" t="n">
        <f aca="false">$K36*Inputs!$C$24*12*$L16*(M$16/$L$16)</f>
        <v>3616300.283</v>
      </c>
      <c r="N36" s="396" t="n">
        <f aca="false">$K36*Inputs!$C$24*12*$L16*(N$16/$L$16)</f>
        <v>5243635.41</v>
      </c>
      <c r="O36" s="396" t="n">
        <f aca="false">$K36*Inputs!$C$24*12*$L16*(O$16/$L$16)</f>
        <v>7603271.345</v>
      </c>
      <c r="P36" s="2"/>
      <c r="Q36" s="20" t="str">
        <f aca="false">Inputs!B5</f>
        <v>Payment Type Cost</v>
      </c>
      <c r="R36" s="3"/>
      <c r="S36" s="66" t="n">
        <f aca="false">Inputs!C5</f>
        <v>0.58</v>
      </c>
      <c r="T36" s="66" t="n">
        <f aca="false">$S$36*12*T16</f>
        <v>388849.4928</v>
      </c>
      <c r="U36" s="66" t="n">
        <f aca="false">$S$36*12*U16</f>
        <v>563831.76456</v>
      </c>
      <c r="V36" s="66" t="n">
        <f aca="false">$S$36*12*V16</f>
        <v>817556.058612</v>
      </c>
      <c r="W36" s="77" t="n">
        <f aca="false">$S$36*12*W16</f>
        <v>1185456.28499088</v>
      </c>
      <c r="X36" s="2"/>
      <c r="Y36" s="392" t="str">
        <f aca="false">Q49</f>
        <v>Total Costs</v>
      </c>
      <c r="Z36" s="418"/>
      <c r="AA36" s="418"/>
      <c r="AB36" s="413" t="n">
        <f aca="false">SUM(AB32:AB35)</f>
        <v>19092686.3016475</v>
      </c>
      <c r="AC36" s="413" t="n">
        <f aca="false">SUM(AC32:AC35)</f>
        <v>27683998.924183</v>
      </c>
      <c r="AD36" s="413" t="n">
        <f aca="false">SUM(AD32:AD35)</f>
        <v>40141798.4407091</v>
      </c>
      <c r="AE36" s="419" t="n">
        <f aca="false">SUM(AE32:AE35)</f>
        <v>58205607.7285754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customFormat="false" ht="13.5" hidden="false" customHeight="true" outlineLevel="0" collapsed="false">
      <c r="A37" s="20" t="s">
        <v>278</v>
      </c>
      <c r="B37" s="7"/>
      <c r="C37" s="416" t="n">
        <f aca="false">Inputs!AN136</f>
        <v>0.00414</v>
      </c>
      <c r="D37" s="396" t="n">
        <f aca="false">$C$37*12*D16</f>
        <v>2775.6216</v>
      </c>
      <c r="E37" s="396" t="n">
        <f aca="false">$C$37*12*E16</f>
        <v>4024.59225048</v>
      </c>
      <c r="F37" s="396" t="n">
        <f aca="false">$C$37*12*F16</f>
        <v>5835.658763196</v>
      </c>
      <c r="G37" s="397" t="n">
        <f aca="false">$C$37*12*G16</f>
        <v>8461.70520665904</v>
      </c>
      <c r="H37" s="2"/>
      <c r="I37" s="20" t="s">
        <v>279</v>
      </c>
      <c r="J37" s="7"/>
      <c r="K37" s="416" t="n">
        <f aca="false">Inputs!M23</f>
        <v>0.02</v>
      </c>
      <c r="L37" s="396" t="n">
        <f aca="false">$K37*Inputs!$C$25*12*$L16*(L$16/$L$16)</f>
        <v>2775.6216</v>
      </c>
      <c r="M37" s="396" t="n">
        <f aca="false">$K37*Inputs!$C$25*12*$L16*(M$16/$L$16)</f>
        <v>4024.59225</v>
      </c>
      <c r="N37" s="396" t="n">
        <f aca="false">$K37*Inputs!$C$25*12*$L16*(N$16/$L$16)</f>
        <v>5835.658763</v>
      </c>
      <c r="O37" s="396" t="n">
        <f aca="false">$K37*Inputs!$C$25*12*$L16*(O$16/$L$16)</f>
        <v>8461.705207</v>
      </c>
      <c r="P37" s="2"/>
      <c r="Q37" s="20" t="str">
        <f aca="false">Inputs!B6</f>
        <v>Customer Care</v>
      </c>
      <c r="R37" s="3"/>
      <c r="S37" s="66" t="n">
        <f aca="false">Inputs!C6</f>
        <v>0.97</v>
      </c>
      <c r="T37" s="66" t="n">
        <f aca="false">$S$37*12*T16</f>
        <v>650317.2552</v>
      </c>
      <c r="U37" s="66" t="n">
        <f aca="false">$S$37*12*U16</f>
        <v>942960.02004</v>
      </c>
      <c r="V37" s="66" t="n">
        <f aca="false">$S$37*12*V16</f>
        <v>1367292.029058</v>
      </c>
      <c r="W37" s="77" t="n">
        <f aca="false">$S$37*12*W16</f>
        <v>1982573.44213992</v>
      </c>
      <c r="X37" s="2"/>
      <c r="Y37" s="56"/>
      <c r="Z37" s="62"/>
      <c r="AA37" s="62"/>
      <c r="AB37" s="396"/>
      <c r="AC37" s="396"/>
      <c r="AD37" s="396"/>
      <c r="AE37" s="397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customFormat="false" ht="13.5" hidden="false" customHeight="true" outlineLevel="0" collapsed="false">
      <c r="A38" s="20" t="s">
        <v>280</v>
      </c>
      <c r="B38" s="7"/>
      <c r="C38" s="416" t="n">
        <f aca="false">Inputs!AO136</f>
        <v>1.035936265</v>
      </c>
      <c r="D38" s="396" t="n">
        <f aca="false">$C$38*12*D16</f>
        <v>694533.1095066</v>
      </c>
      <c r="E38" s="396" t="n">
        <f aca="false">$C$38*12*E16</f>
        <v>1007058.22804594</v>
      </c>
      <c r="F38" s="396" t="n">
        <f aca="false">$C$38*12*F16</f>
        <v>1460234.43066661</v>
      </c>
      <c r="G38" s="397" t="n">
        <f aca="false">$C$38*12*G16</f>
        <v>2117339.92447281</v>
      </c>
      <c r="H38" s="2"/>
      <c r="I38" s="20" t="str">
        <f aca="false">A38</f>
        <v>Product 1 "Breakage" Cost</v>
      </c>
      <c r="J38" s="7"/>
      <c r="K38" s="416" t="n">
        <f aca="false">C38</f>
        <v>1.035936265</v>
      </c>
      <c r="L38" s="398" t="n">
        <f aca="false">D38</f>
        <v>694533.1095066</v>
      </c>
      <c r="M38" s="398" t="n">
        <f aca="false">E38</f>
        <v>1007058.22804594</v>
      </c>
      <c r="N38" s="398" t="n">
        <f aca="false">F38</f>
        <v>1460234.43066661</v>
      </c>
      <c r="O38" s="399" t="n">
        <f aca="false">G38</f>
        <v>2117339.92447281</v>
      </c>
      <c r="P38" s="2"/>
      <c r="Q38" s="20" t="str">
        <f aca="false">Inputs!B8</f>
        <v>Product 1</v>
      </c>
      <c r="R38" s="2"/>
      <c r="S38" s="416" t="n">
        <f aca="false">Inputs!C8</f>
        <v>0.0641</v>
      </c>
      <c r="T38" s="398" t="n">
        <f aca="false">$S38*D77</f>
        <v>9980710.16588</v>
      </c>
      <c r="U38" s="398" t="n">
        <f aca="false">$S38*E77</f>
        <v>14471817.34133</v>
      </c>
      <c r="V38" s="398" t="n">
        <f aca="false">$S38*F77</f>
        <v>20984135.14589</v>
      </c>
      <c r="W38" s="399" t="n">
        <f aca="false">$S38*G77</f>
        <v>30426995.95481</v>
      </c>
      <c r="X38" s="2"/>
      <c r="Y38" s="61" t="str">
        <f aca="false">Q51</f>
        <v>Total EBITDA</v>
      </c>
      <c r="Z38" s="2"/>
      <c r="AA38" s="2"/>
      <c r="AB38" s="420" t="n">
        <f aca="false">AB29-AB36</f>
        <v>14941069.3976925</v>
      </c>
      <c r="AC38" s="421" t="n">
        <f aca="false">AC29-AC36</f>
        <v>20403795.345857</v>
      </c>
      <c r="AD38" s="421" t="n">
        <f aca="false">AD29-AD36</f>
        <v>29585575.9417009</v>
      </c>
      <c r="AE38" s="422" t="n">
        <f aca="false">AE29-AE36</f>
        <v>42899020.2772438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customFormat="false" ht="12.75" hidden="false" customHeight="true" outlineLevel="0" collapsed="false">
      <c r="A39" s="20" t="s">
        <v>281</v>
      </c>
      <c r="B39" s="7"/>
      <c r="C39" s="416" t="n">
        <f aca="false">Inputs!AP136</f>
        <v>0</v>
      </c>
      <c r="D39" s="402" t="n">
        <f aca="false">$C$39*12*D16</f>
        <v>0</v>
      </c>
      <c r="E39" s="402" t="n">
        <f aca="false">$C$39*12*E16</f>
        <v>0</v>
      </c>
      <c r="F39" s="402" t="n">
        <f aca="false">$C$39*12*F16</f>
        <v>0</v>
      </c>
      <c r="G39" s="403" t="n">
        <f aca="false">$C$39*12*G16</f>
        <v>0</v>
      </c>
      <c r="H39" s="2"/>
      <c r="I39" s="20" t="str">
        <f aca="false">A39</f>
        <v>Product 2 "Breakage" Cost</v>
      </c>
      <c r="J39" s="7"/>
      <c r="K39" s="416" t="n">
        <f aca="false">C39</f>
        <v>0</v>
      </c>
      <c r="L39" s="398" t="n">
        <f aca="false">D39</f>
        <v>0</v>
      </c>
      <c r="M39" s="398" t="n">
        <f aca="false">E39</f>
        <v>0</v>
      </c>
      <c r="N39" s="398" t="n">
        <f aca="false">F39</f>
        <v>0</v>
      </c>
      <c r="O39" s="399" t="n">
        <f aca="false">G39</f>
        <v>0</v>
      </c>
      <c r="P39" s="2"/>
      <c r="Q39" s="20" t="str">
        <f aca="false">Inputs!B9</f>
        <v>Product 2</v>
      </c>
      <c r="R39" s="2"/>
      <c r="S39" s="416" t="n">
        <f aca="false">Inputs!C9</f>
        <v>0.04</v>
      </c>
      <c r="T39" s="398" t="n">
        <f aca="false">$S39*D78</f>
        <v>2529361.3164</v>
      </c>
      <c r="U39" s="398" t="n">
        <f aca="false">$S39*E78</f>
        <v>3667520.0804</v>
      </c>
      <c r="V39" s="398" t="n">
        <f aca="false">$S39*F78</f>
        <v>5317904.116</v>
      </c>
      <c r="W39" s="399" t="n">
        <f aca="false">$S39*G78</f>
        <v>7710960.968</v>
      </c>
      <c r="X39" s="2"/>
      <c r="Y39" s="20"/>
      <c r="Z39" s="2"/>
      <c r="AA39" s="2"/>
      <c r="AB39" s="418"/>
      <c r="AC39" s="418"/>
      <c r="AD39" s="418"/>
      <c r="AE39" s="423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customFormat="false" ht="12.75" hidden="false" customHeight="true" outlineLevel="0" collapsed="false">
      <c r="A40" s="20" t="s">
        <v>134</v>
      </c>
      <c r="B40" s="7"/>
      <c r="C40" s="416" t="n">
        <f aca="false">Inputs!AQ136</f>
        <v>0</v>
      </c>
      <c r="D40" s="396" t="n">
        <f aca="false">$C$40*12*D16</f>
        <v>0</v>
      </c>
      <c r="E40" s="396" t="n">
        <f aca="false">$C$40*12*E16</f>
        <v>0</v>
      </c>
      <c r="F40" s="396" t="n">
        <f aca="false">$C$40*12*F16</f>
        <v>0</v>
      </c>
      <c r="G40" s="397" t="n">
        <f aca="false">$C$40*12*G16</f>
        <v>0</v>
      </c>
      <c r="H40" s="2"/>
      <c r="I40" s="20" t="str">
        <f aca="false">A40</f>
        <v>Daily Charge</v>
      </c>
      <c r="J40" s="7"/>
      <c r="K40" s="416" t="n">
        <f aca="false">C40</f>
        <v>0</v>
      </c>
      <c r="L40" s="398" t="n">
        <f aca="false">D40</f>
        <v>0</v>
      </c>
      <c r="M40" s="398" t="n">
        <f aca="false">E40</f>
        <v>0</v>
      </c>
      <c r="N40" s="398" t="n">
        <f aca="false">F40</f>
        <v>0</v>
      </c>
      <c r="O40" s="399" t="n">
        <f aca="false">G40</f>
        <v>0</v>
      </c>
      <c r="P40" s="2"/>
      <c r="Q40" s="20" t="s">
        <v>282</v>
      </c>
      <c r="R40" s="2"/>
      <c r="S40" s="416" t="n">
        <f aca="false">Inputs!M23</f>
        <v>0.02</v>
      </c>
      <c r="T40" s="398" t="n">
        <f aca="false">$S40*D79</f>
        <v>234.577864</v>
      </c>
      <c r="U40" s="398" t="n">
        <f aca="false">$S40*E79</f>
        <v>340.1329106</v>
      </c>
      <c r="V40" s="398" t="n">
        <f aca="false">$S40*F79</f>
        <v>493.1927204</v>
      </c>
      <c r="W40" s="399" t="n">
        <f aca="false">$S40*G79</f>
        <v>715.1294446</v>
      </c>
      <c r="X40" s="2"/>
      <c r="Y40" s="56"/>
      <c r="Z40" s="2"/>
      <c r="AA40" s="2"/>
      <c r="AB40" s="93" t="s">
        <v>283</v>
      </c>
      <c r="AC40" s="93"/>
      <c r="AD40" s="93"/>
      <c r="AE40" s="93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customFormat="false" ht="12.75" hidden="false" customHeight="true" outlineLevel="0" collapsed="false">
      <c r="A41" s="20" t="s">
        <v>38</v>
      </c>
      <c r="B41" s="7"/>
      <c r="C41" s="401" t="n">
        <v>0</v>
      </c>
      <c r="D41" s="396" t="n">
        <v>0</v>
      </c>
      <c r="E41" s="396" t="n">
        <v>0</v>
      </c>
      <c r="F41" s="396" t="n">
        <v>0</v>
      </c>
      <c r="G41" s="397" t="n">
        <v>0</v>
      </c>
      <c r="H41" s="2"/>
      <c r="I41" s="20" t="str">
        <f aca="false">A41</f>
        <v>Product 4</v>
      </c>
      <c r="J41" s="7"/>
      <c r="K41" s="416" t="n">
        <f aca="false">C41</f>
        <v>0</v>
      </c>
      <c r="L41" s="398" t="n">
        <f aca="false">D41</f>
        <v>0</v>
      </c>
      <c r="M41" s="398" t="n">
        <f aca="false">E41</f>
        <v>0</v>
      </c>
      <c r="N41" s="398" t="n">
        <f aca="false">F41</f>
        <v>0</v>
      </c>
      <c r="O41" s="399" t="n">
        <f aca="false">G41</f>
        <v>0</v>
      </c>
      <c r="P41" s="2"/>
      <c r="Q41" s="20" t="str">
        <f aca="false">Inputs!B12</f>
        <v>Monthly Flat Fee</v>
      </c>
      <c r="R41" s="2"/>
      <c r="S41" s="416" t="n">
        <f aca="false">Inputs!C12</f>
        <v>1450</v>
      </c>
      <c r="T41" s="396" t="n">
        <f aca="false">$S$41*12</f>
        <v>17400</v>
      </c>
      <c r="U41" s="396" t="n">
        <f aca="false">$S$41*12</f>
        <v>17400</v>
      </c>
      <c r="V41" s="396" t="n">
        <f aca="false">$S$41*12</f>
        <v>17400</v>
      </c>
      <c r="W41" s="397" t="n">
        <f aca="false">$S$41*12</f>
        <v>17400</v>
      </c>
      <c r="X41" s="2"/>
      <c r="Y41" s="56"/>
      <c r="Z41" s="148"/>
      <c r="AA41" s="2"/>
      <c r="AB41" s="101" t="s">
        <v>284</v>
      </c>
      <c r="AC41" s="4" t="s">
        <v>285</v>
      </c>
      <c r="AD41" s="4" t="s">
        <v>286</v>
      </c>
      <c r="AE41" s="93" t="s">
        <v>178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customFormat="false" ht="12.75" hidden="false" customHeight="true" outlineLevel="0" collapsed="false">
      <c r="A42" s="20" t="s">
        <v>287</v>
      </c>
      <c r="B42" s="7" t="n">
        <f aca="false">Inputs!C19</f>
        <v>56.4</v>
      </c>
      <c r="C42" s="2"/>
      <c r="D42" s="396" t="n">
        <f aca="false">$B$42*D69</f>
        <v>3151068</v>
      </c>
      <c r="E42" s="396" t="n">
        <f aca="false">$B$42*E69</f>
        <v>3308554.3404</v>
      </c>
      <c r="F42" s="396" t="n">
        <f aca="false">$B$42*F69</f>
        <v>4797476.49318</v>
      </c>
      <c r="G42" s="397" t="n">
        <f aca="false">$B$42*G69</f>
        <v>6956276.0551392</v>
      </c>
      <c r="H42" s="2"/>
      <c r="I42" s="20" t="str">
        <f aca="false">A42</f>
        <v>Customer Equipment Cost</v>
      </c>
      <c r="J42" s="7" t="n">
        <f aca="false">B42</f>
        <v>56.4</v>
      </c>
      <c r="K42" s="416"/>
      <c r="L42" s="398" t="n">
        <f aca="false">D42</f>
        <v>3151068</v>
      </c>
      <c r="M42" s="398" t="n">
        <f aca="false">E42</f>
        <v>3308554.3404</v>
      </c>
      <c r="N42" s="398" t="n">
        <f aca="false">F42</f>
        <v>4797476.49318</v>
      </c>
      <c r="O42" s="399" t="n">
        <f aca="false">G42</f>
        <v>6956276.0551392</v>
      </c>
      <c r="P42" s="2"/>
      <c r="Q42" s="20" t="str">
        <f aca="false">Inputs!B14</f>
        <v>Activation Cost 1</v>
      </c>
      <c r="R42" s="66" t="n">
        <f aca="false">Inputs!C14</f>
        <v>0</v>
      </c>
      <c r="S42" s="416"/>
      <c r="T42" s="396" t="n">
        <f aca="false">$R$42*D$69</f>
        <v>0</v>
      </c>
      <c r="U42" s="396" t="n">
        <f aca="false">$R$42*E$69</f>
        <v>0</v>
      </c>
      <c r="V42" s="396" t="n">
        <f aca="false">$R$42*F$69</f>
        <v>0</v>
      </c>
      <c r="W42" s="397" t="n">
        <f aca="false">$R$42*G$69</f>
        <v>0</v>
      </c>
      <c r="X42" s="2"/>
      <c r="Y42" s="185"/>
      <c r="Z42" s="2"/>
      <c r="AA42" s="2"/>
      <c r="AB42" s="101" t="n">
        <f aca="false">SUM(AB29:AE29)/SUM(AB16:AE16)/12</f>
        <v>49.63743885</v>
      </c>
      <c r="AC42" s="101" t="n">
        <f aca="false">SUM(AB36:AE36)/SUM(AB16:AE16)/12</f>
        <v>28.4779088677344</v>
      </c>
      <c r="AD42" s="101" t="n">
        <f aca="false">AB42-AC42</f>
        <v>21.1595299822656</v>
      </c>
      <c r="AE42" s="193" t="n">
        <f aca="false">AD42/AB42</f>
        <v>0.42628166304486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customFormat="false" ht="12.75" hidden="false" customHeight="true" outlineLevel="0" collapsed="false">
      <c r="A43" s="20" t="s">
        <v>288</v>
      </c>
      <c r="B43" s="7" t="n">
        <f aca="false">Inputs!C13-Inputs!C19</f>
        <v>23.23</v>
      </c>
      <c r="C43" s="7"/>
      <c r="D43" s="396" t="n">
        <f aca="false">$B$43*D69</f>
        <v>1297860.1</v>
      </c>
      <c r="E43" s="396" t="n">
        <f aca="false">$B$43*E69</f>
        <v>1362725.48453</v>
      </c>
      <c r="F43" s="396" t="n">
        <f aca="false">$B$43*F69</f>
        <v>1975981.8960385</v>
      </c>
      <c r="G43" s="397" t="n">
        <f aca="false">$B$43*G69</f>
        <v>2865147.03476744</v>
      </c>
      <c r="H43" s="2"/>
      <c r="I43" s="20" t="str">
        <f aca="false">A43</f>
        <v>Other Activation Costs</v>
      </c>
      <c r="J43" s="7" t="n">
        <f aca="false">B43</f>
        <v>23.23</v>
      </c>
      <c r="K43" s="416"/>
      <c r="L43" s="398" t="n">
        <f aca="false">D43</f>
        <v>1297860.1</v>
      </c>
      <c r="M43" s="398" t="n">
        <f aca="false">E43</f>
        <v>1362725.48453</v>
      </c>
      <c r="N43" s="398" t="n">
        <f aca="false">F43</f>
        <v>1975981.8960385</v>
      </c>
      <c r="O43" s="399" t="n">
        <f aca="false">G43</f>
        <v>2865147.03476744</v>
      </c>
      <c r="P43" s="2"/>
      <c r="Q43" s="20" t="str">
        <f aca="false">Inputs!B15</f>
        <v>Activation Cost 2</v>
      </c>
      <c r="R43" s="66" t="n">
        <f aca="false">Inputs!C15</f>
        <v>3</v>
      </c>
      <c r="S43" s="2"/>
      <c r="T43" s="396" t="n">
        <f aca="false">$R$43*D$69</f>
        <v>167610</v>
      </c>
      <c r="U43" s="396" t="n">
        <f aca="false">$R$43*E$69</f>
        <v>175986.933</v>
      </c>
      <c r="V43" s="396" t="n">
        <f aca="false">$R$43*F$69</f>
        <v>255184.91985</v>
      </c>
      <c r="W43" s="397" t="n">
        <f aca="false">$R$43*G$69</f>
        <v>370014.683784</v>
      </c>
      <c r="X43" s="2"/>
      <c r="Y43" s="185"/>
      <c r="Z43" s="7"/>
      <c r="AA43" s="2"/>
      <c r="AB43" s="2"/>
      <c r="AC43" s="2"/>
      <c r="AD43" s="2"/>
      <c r="AE43" s="25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customFormat="false" ht="12.75" hidden="false" customHeight="true" outlineLevel="0" collapsed="false">
      <c r="A44" s="61" t="s">
        <v>289</v>
      </c>
      <c r="B44" s="7"/>
      <c r="C44" s="7"/>
      <c r="D44" s="396"/>
      <c r="E44" s="396"/>
      <c r="F44" s="396"/>
      <c r="G44" s="397"/>
      <c r="H44" s="2"/>
      <c r="I44" s="61" t="str">
        <f aca="false">A44</f>
        <v>Fixed Costs</v>
      </c>
      <c r="J44" s="7"/>
      <c r="K44" s="416"/>
      <c r="L44" s="398"/>
      <c r="M44" s="398"/>
      <c r="N44" s="398"/>
      <c r="O44" s="399"/>
      <c r="P44" s="2"/>
      <c r="Q44" s="20" t="str">
        <f aca="false">Inputs!B16</f>
        <v>Component</v>
      </c>
      <c r="R44" s="66" t="n">
        <f aca="false">Inputs!C16</f>
        <v>3.81</v>
      </c>
      <c r="S44" s="3"/>
      <c r="T44" s="396" t="n">
        <f aca="false">$R$44*D$69</f>
        <v>212864.7</v>
      </c>
      <c r="U44" s="396" t="n">
        <f aca="false">$R$44*E$69</f>
        <v>223503.40491</v>
      </c>
      <c r="V44" s="396" t="n">
        <f aca="false">$R$44*F$69</f>
        <v>324084.8482095</v>
      </c>
      <c r="W44" s="397" t="n">
        <f aca="false">$R$44*G$69</f>
        <v>469918.64840568</v>
      </c>
      <c r="X44" s="2"/>
      <c r="Y44" s="235" t="str">
        <f aca="false">Q57</f>
        <v>*Subscriber number assumes a monthly customer churn rate of 5%</v>
      </c>
      <c r="Z44" s="2"/>
      <c r="AA44" s="2"/>
      <c r="AB44" s="2"/>
      <c r="AC44" s="2"/>
      <c r="AD44" s="2"/>
      <c r="AE44" s="25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customFormat="false" ht="12.75" hidden="false" customHeight="true" outlineLevel="0" collapsed="false">
      <c r="A45" s="20" t="s">
        <v>290</v>
      </c>
      <c r="B45" s="7"/>
      <c r="C45" s="7" t="n">
        <f aca="false">Inputs!C12</f>
        <v>1450</v>
      </c>
      <c r="D45" s="396" t="n">
        <f aca="false">$C$45*12</f>
        <v>17400</v>
      </c>
      <c r="E45" s="396" t="n">
        <f aca="false">$C$45*12</f>
        <v>17400</v>
      </c>
      <c r="F45" s="396" t="n">
        <f aca="false">$C$45*12</f>
        <v>17400</v>
      </c>
      <c r="G45" s="397" t="n">
        <f aca="false">$C$45*12</f>
        <v>17400</v>
      </c>
      <c r="H45" s="2"/>
      <c r="I45" s="20" t="str">
        <f aca="false">A45</f>
        <v>Flat Fee Cost</v>
      </c>
      <c r="J45" s="7"/>
      <c r="K45" s="416" t="n">
        <f aca="false">C45</f>
        <v>1450</v>
      </c>
      <c r="L45" s="398" t="n">
        <f aca="false">D45</f>
        <v>17400</v>
      </c>
      <c r="M45" s="398" t="n">
        <f aca="false">E45</f>
        <v>17400</v>
      </c>
      <c r="N45" s="398" t="n">
        <f aca="false">F45</f>
        <v>17400</v>
      </c>
      <c r="O45" s="399" t="n">
        <f aca="false">G45</f>
        <v>17400</v>
      </c>
      <c r="P45" s="2"/>
      <c r="Q45" s="20" t="str">
        <f aca="false">Inputs!B17</f>
        <v>Dealer Commission</v>
      </c>
      <c r="R45" s="66" t="n">
        <f aca="false">Inputs!C17</f>
        <v>15</v>
      </c>
      <c r="S45" s="2"/>
      <c r="T45" s="396" t="n">
        <f aca="false">$R$45*D$69</f>
        <v>838050</v>
      </c>
      <c r="U45" s="396" t="n">
        <f aca="false">$R$45*E$69</f>
        <v>879934.665</v>
      </c>
      <c r="V45" s="396" t="n">
        <f aca="false">$R$45*F$69</f>
        <v>1275924.59925</v>
      </c>
      <c r="W45" s="397" t="n">
        <f aca="false">$R$45*G$69</f>
        <v>1850073.41892</v>
      </c>
      <c r="X45" s="2"/>
      <c r="Y45" s="424" t="str">
        <f aca="false">Q58</f>
        <v>** Based on a weighted average projection of six rate plans and an underlying average consumption rate of 229 Product 1 minutes per user, 93 Product 2 messages per user and 0.207 units of data per user per month.</v>
      </c>
      <c r="Z45" s="424"/>
      <c r="AA45" s="424"/>
      <c r="AB45" s="424"/>
      <c r="AC45" s="424"/>
      <c r="AD45" s="424"/>
      <c r="AE45" s="424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customFormat="false" ht="13.5" hidden="false" customHeight="true" outlineLevel="0" collapsed="false">
      <c r="A46" s="20"/>
      <c r="B46" s="7"/>
      <c r="C46" s="7"/>
      <c r="D46" s="404"/>
      <c r="E46" s="404"/>
      <c r="F46" s="404"/>
      <c r="G46" s="405"/>
      <c r="H46" s="2"/>
      <c r="I46" s="20"/>
      <c r="J46" s="7"/>
      <c r="K46" s="7"/>
      <c r="L46" s="404"/>
      <c r="M46" s="404"/>
      <c r="N46" s="404"/>
      <c r="O46" s="405"/>
      <c r="P46" s="2"/>
      <c r="Q46" s="20" t="str">
        <f aca="false">Inputs!B18</f>
        <v>Payment Processing</v>
      </c>
      <c r="R46" s="66" t="n">
        <f aca="false">Inputs!C18</f>
        <v>1.42</v>
      </c>
      <c r="S46" s="3"/>
      <c r="T46" s="396" t="n">
        <f aca="false">$R$46*D$69</f>
        <v>79335.4</v>
      </c>
      <c r="U46" s="396" t="n">
        <f aca="false">$R$46*E$69</f>
        <v>83300.48162</v>
      </c>
      <c r="V46" s="396" t="n">
        <f aca="false">$R$46*F$69</f>
        <v>120787.528729</v>
      </c>
      <c r="W46" s="397" t="n">
        <f aca="false">$R$46*G$69</f>
        <v>175140.28365776</v>
      </c>
      <c r="X46" s="2"/>
      <c r="Y46" s="424"/>
      <c r="Z46" s="424"/>
      <c r="AA46" s="424"/>
      <c r="AB46" s="424"/>
      <c r="AC46" s="424"/>
      <c r="AD46" s="424"/>
      <c r="AE46" s="424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customFormat="false" ht="12.75" hidden="false" customHeight="true" outlineLevel="0" collapsed="false">
      <c r="A47" s="392" t="s">
        <v>174</v>
      </c>
      <c r="B47" s="7"/>
      <c r="C47" s="7"/>
      <c r="D47" s="413" t="n">
        <f aca="false">SUM(D31:D46)</f>
        <v>24839735.9117628</v>
      </c>
      <c r="E47" s="413" t="n">
        <f aca="false">SUM(E31:E42,E44:E46)</f>
        <v>32866972.1893478</v>
      </c>
      <c r="F47" s="413" t="n">
        <f aca="false">SUM(F31:F42,F44:F46)</f>
        <v>47649352.3741544</v>
      </c>
      <c r="G47" s="419" t="n">
        <f aca="false">SUM(G31:G42,G44:G46)</f>
        <v>69083666.0827301</v>
      </c>
      <c r="H47" s="2"/>
      <c r="I47" s="392" t="s">
        <v>174</v>
      </c>
      <c r="J47" s="7"/>
      <c r="K47" s="7"/>
      <c r="L47" s="413" t="n">
        <f aca="false">SUM(L33:L44,L45:L46)</f>
        <v>23670635.9538659</v>
      </c>
      <c r="M47" s="413" t="n">
        <f aca="false">SUM(M33:M44,M45:M46)</f>
        <v>32534517.5159707</v>
      </c>
      <c r="N47" s="413" t="n">
        <f aca="false">SUM(N33:N44,N45:N46)</f>
        <v>47167323.0383781</v>
      </c>
      <c r="O47" s="419" t="n">
        <f aca="false">SUM(O33:O44,O45:O46)</f>
        <v>68384696.8327501</v>
      </c>
      <c r="P47" s="2"/>
      <c r="Q47" s="20" t="str">
        <f aca="false">Inputs!B19</f>
        <v>Customer Equipment</v>
      </c>
      <c r="R47" s="66" t="n">
        <f aca="false">Inputs!C19</f>
        <v>56.4</v>
      </c>
      <c r="S47" s="3"/>
      <c r="T47" s="396" t="n">
        <f aca="false">$R$47*D$69</f>
        <v>3151068</v>
      </c>
      <c r="U47" s="396" t="n">
        <f aca="false">$R$47*E$69</f>
        <v>3308554.3404</v>
      </c>
      <c r="V47" s="396" t="n">
        <f aca="false">$R$47*F$69</f>
        <v>4797476.49318</v>
      </c>
      <c r="W47" s="397" t="n">
        <f aca="false">$R$47*G$69</f>
        <v>6956276.0551392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customFormat="false" ht="13.5" hidden="false" customHeight="true" outlineLevel="0" collapsed="false">
      <c r="A48" s="56"/>
      <c r="B48" s="7"/>
      <c r="C48" s="7"/>
      <c r="D48" s="396"/>
      <c r="E48" s="396"/>
      <c r="F48" s="396"/>
      <c r="G48" s="397"/>
      <c r="H48" s="2"/>
      <c r="I48" s="56"/>
      <c r="J48" s="7"/>
      <c r="K48" s="7"/>
      <c r="L48" s="396"/>
      <c r="M48" s="396"/>
      <c r="N48" s="396"/>
      <c r="O48" s="397"/>
      <c r="P48" s="2"/>
      <c r="Q48" s="20"/>
      <c r="R48" s="47"/>
      <c r="S48" s="3"/>
      <c r="T48" s="396"/>
      <c r="U48" s="396"/>
      <c r="V48" s="396"/>
      <c r="W48" s="397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customFormat="false" ht="13.5" hidden="false" customHeight="true" outlineLevel="0" collapsed="false">
      <c r="A49" s="185" t="s">
        <v>291</v>
      </c>
      <c r="B49" s="7"/>
      <c r="C49" s="7"/>
      <c r="D49" s="420" t="n">
        <f aca="false">D29-D47</f>
        <v>9194019.78757723</v>
      </c>
      <c r="E49" s="421" t="n">
        <f aca="false">E29-E47</f>
        <v>15220822.0806921</v>
      </c>
      <c r="F49" s="421" t="n">
        <f aca="false">F29-F47</f>
        <v>22078022.0082556</v>
      </c>
      <c r="G49" s="422" t="n">
        <f aca="false">G29-G47</f>
        <v>32020961.9230891</v>
      </c>
      <c r="H49" s="2"/>
      <c r="I49" s="185" t="s">
        <v>291</v>
      </c>
      <c r="J49" s="7"/>
      <c r="K49" s="7"/>
      <c r="L49" s="420" t="n">
        <f aca="false">L29-L47</f>
        <v>10363119.7454741</v>
      </c>
      <c r="M49" s="421" t="n">
        <f aca="false">M29-M47</f>
        <v>15553276.7540693</v>
      </c>
      <c r="N49" s="421" t="n">
        <f aca="false">N29-N47</f>
        <v>22560051.3440319</v>
      </c>
      <c r="O49" s="422" t="n">
        <f aca="false">O29-O47</f>
        <v>32719931.1730691</v>
      </c>
      <c r="P49" s="2"/>
      <c r="Q49" s="392" t="str">
        <f aca="false">I47</f>
        <v>Total Costs</v>
      </c>
      <c r="R49" s="418"/>
      <c r="S49" s="418"/>
      <c r="T49" s="413" t="n">
        <f aca="false">SUM(T32:T48)</f>
        <v>23622789.7601033</v>
      </c>
      <c r="U49" s="413" t="n">
        <f aca="false">SUM(U32:U46)</f>
        <v>29156672.5094154</v>
      </c>
      <c r="V49" s="413" t="n">
        <f aca="false">SUM(V32:V46)</f>
        <v>42269375.0825039</v>
      </c>
      <c r="W49" s="419" t="n">
        <f aca="false">SUM(W32:W46)</f>
        <v>61282737.148267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customFormat="false" ht="13.5" hidden="false" customHeight="true" outlineLevel="0" collapsed="false">
      <c r="A50" s="56"/>
      <c r="B50" s="2"/>
      <c r="C50" s="2"/>
      <c r="D50" s="2"/>
      <c r="E50" s="2"/>
      <c r="F50" s="2"/>
      <c r="G50" s="25"/>
      <c r="H50" s="2"/>
      <c r="I50" s="56"/>
      <c r="J50" s="2"/>
      <c r="K50" s="2"/>
      <c r="L50" s="2"/>
      <c r="M50" s="2"/>
      <c r="N50" s="2"/>
      <c r="O50" s="25"/>
      <c r="P50" s="2"/>
      <c r="Q50" s="56"/>
      <c r="R50" s="62"/>
      <c r="S50" s="62"/>
      <c r="T50" s="396"/>
      <c r="U50" s="396"/>
      <c r="V50" s="396"/>
      <c r="W50" s="397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customFormat="false" ht="13.5" hidden="false" customHeight="true" outlineLevel="0" collapsed="false">
      <c r="A51" s="56"/>
      <c r="B51" s="2"/>
      <c r="C51" s="2"/>
      <c r="D51" s="93" t="s">
        <v>292</v>
      </c>
      <c r="E51" s="93"/>
      <c r="F51" s="93"/>
      <c r="G51" s="93"/>
      <c r="H51" s="2"/>
      <c r="I51" s="56"/>
      <c r="J51" s="2"/>
      <c r="K51" s="2"/>
      <c r="L51" s="93" t="s">
        <v>292</v>
      </c>
      <c r="M51" s="93"/>
      <c r="N51" s="93"/>
      <c r="O51" s="93"/>
      <c r="P51" s="2"/>
      <c r="Q51" s="61" t="str">
        <f aca="false">I49</f>
        <v>Total EBITDA</v>
      </c>
      <c r="R51" s="2"/>
      <c r="S51" s="2"/>
      <c r="T51" s="420" t="n">
        <f aca="false">T29-T49</f>
        <v>10410965.9392367</v>
      </c>
      <c r="U51" s="421" t="n">
        <f aca="false">U29-U49</f>
        <v>18931121.7606246</v>
      </c>
      <c r="V51" s="421" t="n">
        <f aca="false">V29-V49</f>
        <v>27457999.2999061</v>
      </c>
      <c r="W51" s="422" t="n">
        <f aca="false">W29-W49</f>
        <v>39821890.8575522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customFormat="false" ht="12.75" hidden="false" customHeight="true" outlineLevel="0" collapsed="false">
      <c r="A52" s="56"/>
      <c r="B52" s="2"/>
      <c r="C52" s="2"/>
      <c r="D52" s="101" t="s">
        <v>284</v>
      </c>
      <c r="E52" s="4" t="s">
        <v>285</v>
      </c>
      <c r="F52" s="4" t="s">
        <v>286</v>
      </c>
      <c r="G52" s="93" t="s">
        <v>178</v>
      </c>
      <c r="H52" s="2"/>
      <c r="I52" s="56"/>
      <c r="J52" s="2"/>
      <c r="K52" s="2"/>
      <c r="L52" s="101" t="s">
        <v>284</v>
      </c>
      <c r="M52" s="4" t="s">
        <v>285</v>
      </c>
      <c r="N52" s="4" t="s">
        <v>286</v>
      </c>
      <c r="O52" s="93" t="s">
        <v>178</v>
      </c>
      <c r="P52" s="2"/>
      <c r="Q52" s="20"/>
      <c r="R52" s="2"/>
      <c r="S52" s="2"/>
      <c r="T52" s="418"/>
      <c r="U52" s="418"/>
      <c r="V52" s="418"/>
      <c r="W52" s="423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customFormat="false" ht="12.75" hidden="false" customHeight="true" outlineLevel="0" collapsed="false">
      <c r="A53" s="56"/>
      <c r="B53" s="2"/>
      <c r="C53" s="2"/>
      <c r="D53" s="101" t="n">
        <f aca="false">SUM(D29:G29)/SUM(D16:G16)/12</f>
        <v>49.637343</v>
      </c>
      <c r="E53" s="101" t="n">
        <f aca="false">SUM(D47:G47)/SUM(D16:G16)/12</f>
        <v>34.2304919597937</v>
      </c>
      <c r="F53" s="101" t="n">
        <f aca="false">D53-E53</f>
        <v>15.4068510402063</v>
      </c>
      <c r="G53" s="193" t="n">
        <f aca="false">F53/D53</f>
        <v>0.310388310675822</v>
      </c>
      <c r="H53" s="2"/>
      <c r="I53" s="56"/>
      <c r="J53" s="2"/>
      <c r="K53" s="2"/>
      <c r="L53" s="101" t="n">
        <f aca="false">SUM(L29:O29)/SUM(L16:O16)/12</f>
        <v>49.637343</v>
      </c>
      <c r="M53" s="101" t="n">
        <f aca="false">SUM(L47:O47)/SUM(L16:O16)/12</f>
        <v>33.7040917060261</v>
      </c>
      <c r="N53" s="101" t="n">
        <f aca="false">L53-M53</f>
        <v>15.9332512939739</v>
      </c>
      <c r="O53" s="193" t="n">
        <f aca="false">N53/L53</f>
        <v>0.320993234750174</v>
      </c>
      <c r="P53" s="2"/>
      <c r="Q53" s="56"/>
      <c r="R53" s="2"/>
      <c r="S53" s="2"/>
      <c r="T53" s="93" t="s">
        <v>283</v>
      </c>
      <c r="U53" s="93"/>
      <c r="V53" s="93"/>
      <c r="W53" s="93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customFormat="false" ht="12.75" hidden="false" customHeight="true" outlineLevel="0" collapsed="false">
      <c r="A54" s="56"/>
      <c r="B54" s="2"/>
      <c r="C54" s="2"/>
      <c r="D54" s="2"/>
      <c r="E54" s="2"/>
      <c r="F54" s="2"/>
      <c r="G54" s="25"/>
      <c r="H54" s="2"/>
      <c r="I54" s="56"/>
      <c r="J54" s="2"/>
      <c r="K54" s="2"/>
      <c r="L54" s="2"/>
      <c r="M54" s="2"/>
      <c r="N54" s="2"/>
      <c r="O54" s="25"/>
      <c r="P54" s="2"/>
      <c r="Q54" s="56"/>
      <c r="R54" s="148"/>
      <c r="S54" s="2"/>
      <c r="T54" s="101" t="s">
        <v>284</v>
      </c>
      <c r="U54" s="4" t="s">
        <v>285</v>
      </c>
      <c r="V54" s="4" t="s">
        <v>286</v>
      </c>
      <c r="W54" s="93" t="s">
        <v>178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customFormat="false" ht="12.75" hidden="false" customHeight="true" outlineLevel="0" collapsed="false">
      <c r="A55" s="56" t="str">
        <f aca="false">"*Subscriber number assumes a monthly customer churn rate of "&amp;100*Inputs!E9&amp;"%"</f>
        <v>*Subscriber number assumes a monthly customer churn rate of 5%</v>
      </c>
      <c r="B55" s="2"/>
      <c r="C55" s="2"/>
      <c r="D55" s="2"/>
      <c r="E55" s="2"/>
      <c r="F55" s="2"/>
      <c r="G55" s="25"/>
      <c r="H55" s="2"/>
      <c r="I55" s="56" t="str">
        <f aca="false">"*Subscriber number assumes a monthly customer churn rate of "&amp;100*Inputs!E9&amp;"%"</f>
        <v>*Subscriber number assumes a monthly customer churn rate of 5%</v>
      </c>
      <c r="J55" s="2"/>
      <c r="K55" s="2"/>
      <c r="L55" s="2"/>
      <c r="M55" s="2"/>
      <c r="N55" s="2"/>
      <c r="O55" s="25"/>
      <c r="P55" s="2"/>
      <c r="Q55" s="185"/>
      <c r="R55" s="2"/>
      <c r="S55" s="2"/>
      <c r="T55" s="101" t="n">
        <f aca="false">SUM(T29:W29)/SUM(T16:W16)/12</f>
        <v>49.63743885</v>
      </c>
      <c r="U55" s="101" t="n">
        <f aca="false">SUM(T49:W49)/SUM(T16:W16)/12</f>
        <v>30.6771693725728</v>
      </c>
      <c r="V55" s="101" t="n">
        <f aca="false">T55-U55</f>
        <v>18.9602694774272</v>
      </c>
      <c r="W55" s="193" t="n">
        <f aca="false">V55/T55</f>
        <v>0.381975176735517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customFormat="false" ht="12.75" hidden="false" customHeight="true" outlineLevel="0" collapsed="false">
      <c r="A56" s="424" t="str">
        <f aca="false">"** Based on a weighted average projection of six rate plans and an underlying average consumption rate of "&amp;Inputs!C23&amp;" Product 1 minutes per user, "&amp;Inputs!C24&amp;" Product 2 messages per user and "&amp;Inputs!C25&amp;" units of data per user per month."</f>
        <v>** Based on a weighted average projection of six rate plans and an underlying average consumption rate of 229 Product 1 minutes per user, 93 Product 2 messages per user and 0.207 units of data per user per month.</v>
      </c>
      <c r="B56" s="424"/>
      <c r="C56" s="424"/>
      <c r="D56" s="424"/>
      <c r="E56" s="424"/>
      <c r="F56" s="424"/>
      <c r="G56" s="424"/>
      <c r="H56" s="2"/>
      <c r="I56" s="424" t="str">
        <f aca="false">"** Based on a weighted average projection of six rate plans and an underlying average consumption rate of "&amp;Inputs!C23&amp;" Product 1 minutes per user, "&amp;Inputs!C24&amp;" Product 2 messages per user and "&amp;Inputs!C25&amp;" units of data per user per month."</f>
        <v>** Based on a weighted average projection of six rate plans and an underlying average consumption rate of 229 Product 1 minutes per user, 93 Product 2 messages per user and 0.207 units of data per user per month.</v>
      </c>
      <c r="J56" s="424"/>
      <c r="K56" s="424"/>
      <c r="L56" s="424"/>
      <c r="M56" s="424"/>
      <c r="N56" s="424"/>
      <c r="O56" s="424"/>
      <c r="P56" s="2"/>
      <c r="Q56" s="185"/>
      <c r="R56" s="7"/>
      <c r="S56" s="2"/>
      <c r="T56" s="2"/>
      <c r="U56" s="2"/>
      <c r="V56" s="2"/>
      <c r="W56" s="25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customFormat="false" ht="13.5" hidden="false" customHeight="true" outlineLevel="0" collapsed="false">
      <c r="A57" s="424"/>
      <c r="B57" s="424"/>
      <c r="C57" s="424"/>
      <c r="D57" s="424"/>
      <c r="E57" s="424"/>
      <c r="F57" s="424"/>
      <c r="G57" s="424"/>
      <c r="H57" s="2"/>
      <c r="I57" s="424"/>
      <c r="J57" s="424"/>
      <c r="K57" s="424"/>
      <c r="L57" s="424"/>
      <c r="M57" s="424"/>
      <c r="N57" s="424"/>
      <c r="O57" s="424"/>
      <c r="P57" s="2"/>
      <c r="Q57" s="235" t="str">
        <f aca="false">I55</f>
        <v>*Subscriber number assumes a monthly customer churn rate of 5%</v>
      </c>
      <c r="R57" s="2"/>
      <c r="S57" s="2"/>
      <c r="T57" s="2"/>
      <c r="U57" s="2"/>
      <c r="V57" s="2"/>
      <c r="W57" s="25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customFormat="false" ht="12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424" t="str">
        <f aca="false">I56</f>
        <v>** Based on a weighted average projection of six rate plans and an underlying average consumption rate of 229 Product 1 minutes per user, 93 Product 2 messages per user and 0.207 units of data per user per month.</v>
      </c>
      <c r="R58" s="424"/>
      <c r="S58" s="424"/>
      <c r="T58" s="424"/>
      <c r="U58" s="424"/>
      <c r="V58" s="424"/>
      <c r="W58" s="424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424"/>
      <c r="R59" s="424"/>
      <c r="S59" s="424"/>
      <c r="T59" s="424"/>
      <c r="U59" s="424"/>
      <c r="V59" s="424"/>
      <c r="W59" s="424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customFormat="false" ht="12.75" hidden="false" customHeight="true" outlineLevel="0" collapsed="false">
      <c r="A60" s="2" t="s">
        <v>293</v>
      </c>
      <c r="B60" s="3" t="n">
        <f aca="false">SUM(D19:G20)/SUM(D16:G16)/12</f>
        <v>32.28798977</v>
      </c>
      <c r="C60" s="2"/>
      <c r="D60" s="2"/>
      <c r="E60" s="2"/>
      <c r="F60" s="2"/>
      <c r="G60" s="2"/>
      <c r="H60" s="2"/>
      <c r="I60" s="425" t="n">
        <f aca="false">SUM(D29:G29)</f>
        <v>252953552.4</v>
      </c>
      <c r="J60" s="426" t="s">
        <v>294</v>
      </c>
      <c r="K60" s="427"/>
      <c r="L60" s="2"/>
      <c r="M60" s="428" t="s">
        <v>295</v>
      </c>
      <c r="N60" s="429" t="n">
        <f aca="false">G53</f>
        <v>0.310388310675822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430" t="n">
        <f aca="false">SUM(L29:O29)</f>
        <v>252953552.4</v>
      </c>
      <c r="J61" s="431" t="s">
        <v>296</v>
      </c>
      <c r="K61" s="432"/>
      <c r="L61" s="2"/>
      <c r="M61" s="433" t="s">
        <v>297</v>
      </c>
      <c r="N61" s="434" t="n">
        <f aca="false">O53</f>
        <v>0.320993234750174</v>
      </c>
      <c r="O61" s="2"/>
      <c r="P61" s="2"/>
      <c r="Q61" s="148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customFormat="false" ht="12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430" t="n">
        <f aca="false">SUM(T29:W29)</f>
        <v>252953552.4</v>
      </c>
      <c r="J62" s="431" t="s">
        <v>298</v>
      </c>
      <c r="K62" s="432"/>
      <c r="L62" s="2"/>
      <c r="M62" s="433" t="s">
        <v>299</v>
      </c>
      <c r="N62" s="434" t="n">
        <f aca="false">W55</f>
        <v>0.381975176735517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435" t="n">
        <f aca="false">SUM(AB29:AE29)</f>
        <v>252953552.4</v>
      </c>
      <c r="J63" s="436" t="s">
        <v>300</v>
      </c>
      <c r="K63" s="437"/>
      <c r="L63" s="2"/>
      <c r="M63" s="433" t="s">
        <v>301</v>
      </c>
      <c r="N63" s="434" t="n">
        <f aca="false">AE42</f>
        <v>0.42628166304486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438" t="n">
        <f aca="false">MAX(I60:I63)-MIN(I60:I63)</f>
        <v>0</v>
      </c>
      <c r="J64" s="439" t="s">
        <v>302</v>
      </c>
      <c r="K64" s="440"/>
      <c r="L64" s="2"/>
      <c r="M64" s="441" t="s">
        <v>303</v>
      </c>
      <c r="N64" s="442" t="n">
        <f aca="false">MAX(N60:N63)-MIN(N60:N63)</f>
        <v>0.115893352369039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customFormat="false" ht="13.5" hidden="false" customHeight="true" outlineLevel="0" collapsed="false">
      <c r="A65" s="2"/>
      <c r="B65" s="2"/>
      <c r="C65" s="2"/>
      <c r="D65" s="6"/>
      <c r="E65" s="2"/>
      <c r="F65" s="2"/>
      <c r="G65" s="2"/>
      <c r="H65" s="2"/>
      <c r="I65" s="443" t="n">
        <f aca="false">AVERAGE(I60:I63)</f>
        <v>252953552.4</v>
      </c>
      <c r="J65" s="439" t="s">
        <v>304</v>
      </c>
      <c r="K65" s="440"/>
      <c r="L65" s="2"/>
      <c r="M65" s="441" t="s">
        <v>305</v>
      </c>
      <c r="N65" s="442" t="n">
        <f aca="false">AVERAGE(N60:N63)</f>
        <v>0.359909596301593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customFormat="false" ht="13.5" hidden="false" customHeight="true" outlineLevel="0" collapsed="false">
      <c r="A66" s="431" t="s">
        <v>306</v>
      </c>
      <c r="B66" s="431"/>
      <c r="C66" s="431"/>
      <c r="D66" s="444" t="n">
        <f aca="false">12*(Inputs!$BB$61+Inputs!$AD$61)/Inputs!$E$61*L7</f>
        <v>4745668.5</v>
      </c>
      <c r="E66" s="444" t="n">
        <f aca="false">12*(Inputs!$BB$61+Inputs!$AD$61)/Inputs!$E$61*M7</f>
        <v>6881219.325</v>
      </c>
      <c r="F66" s="444" t="n">
        <f aca="false">12*(Inputs!$BB$61+Inputs!$AD$61)/Inputs!$E$61*N7</f>
        <v>9977768.02125</v>
      </c>
      <c r="G66" s="444" t="n">
        <f aca="false">12*(Inputs!$BB$61+Inputs!$AD$61)/Inputs!$E$61*O7</f>
        <v>14467763.6308125</v>
      </c>
      <c r="H66" s="2"/>
      <c r="I66" s="445" t="n">
        <f aca="false">MAX(I60:I63)/I65-1</f>
        <v>0</v>
      </c>
      <c r="J66" s="426" t="s">
        <v>307</v>
      </c>
      <c r="K66" s="427"/>
      <c r="L66" s="2"/>
      <c r="M66" s="433" t="s">
        <v>307</v>
      </c>
      <c r="N66" s="446" t="n">
        <f aca="false">MAX(N60:N63)/N65-1</f>
        <v>0.184413162153224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customFormat="false" ht="13.5" hidden="false" customHeight="true" outlineLevel="0" collapsed="false">
      <c r="A67" s="428" t="s">
        <v>308</v>
      </c>
      <c r="B67" s="426"/>
      <c r="C67" s="426"/>
      <c r="D67" s="447" t="n">
        <f aca="false">L16-K16</f>
        <v>55870</v>
      </c>
      <c r="E67" s="447" t="n">
        <f aca="false">M16-L16</f>
        <v>25140.311</v>
      </c>
      <c r="F67" s="447" t="n">
        <f aca="false">N16-M16</f>
        <v>36454.63995</v>
      </c>
      <c r="G67" s="448" t="n">
        <f aca="false">O16-N16</f>
        <v>52859.227928</v>
      </c>
      <c r="H67" s="2"/>
      <c r="I67" s="449" t="n">
        <f aca="false">MIN(I60:I63)/I65-1</f>
        <v>0</v>
      </c>
      <c r="J67" s="436" t="s">
        <v>309</v>
      </c>
      <c r="K67" s="437"/>
      <c r="L67" s="2"/>
      <c r="M67" s="433" t="s">
        <v>309</v>
      </c>
      <c r="N67" s="446" t="n">
        <f aca="false">MIN(N60:N63)/N65-1</f>
        <v>-0.137593679453532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customFormat="false" ht="13.5" hidden="false" customHeight="true" outlineLevel="0" collapsed="false">
      <c r="A68" s="450" t="s">
        <v>310</v>
      </c>
      <c r="B68" s="451"/>
      <c r="C68" s="451"/>
      <c r="D68" s="451" t="n">
        <f aca="false">ROUNDUP(K16*Inputs!$E$9*12,0)</f>
        <v>0</v>
      </c>
      <c r="E68" s="451" t="n">
        <f aca="false">ROUNDUP(L16*Inputs!$E$9*12,0)</f>
        <v>33522</v>
      </c>
      <c r="F68" s="451" t="n">
        <f aca="false">ROUNDUP(M16*Inputs!$E$9*12,0)</f>
        <v>48607</v>
      </c>
      <c r="G68" s="452" t="n">
        <f aca="false">ROUNDUP(N16*Inputs!$E$9*12,0)</f>
        <v>70479</v>
      </c>
      <c r="H68" s="2"/>
      <c r="I68" s="453" t="n">
        <f aca="false">I64/I65</f>
        <v>0</v>
      </c>
      <c r="J68" s="439" t="s">
        <v>311</v>
      </c>
      <c r="K68" s="440"/>
      <c r="L68" s="2"/>
      <c r="M68" s="441" t="s">
        <v>311</v>
      </c>
      <c r="N68" s="454" t="n">
        <f aca="false">N64/N65</f>
        <v>0.322006841606756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customFormat="false" ht="13.5" hidden="false" customHeight="true" outlineLevel="0" collapsed="false">
      <c r="A69" s="455" t="s">
        <v>312</v>
      </c>
      <c r="B69" s="436"/>
      <c r="C69" s="436"/>
      <c r="D69" s="456" t="n">
        <f aca="false">D67+D68</f>
        <v>55870</v>
      </c>
      <c r="E69" s="456" t="n">
        <f aca="false">E67+E68</f>
        <v>58662.311</v>
      </c>
      <c r="F69" s="456" t="n">
        <f aca="false">F67+F68</f>
        <v>85061.63995</v>
      </c>
      <c r="G69" s="457" t="n">
        <f aca="false">G67+G68</f>
        <v>123338.227928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customFormat="false" ht="12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425" t="n">
        <f aca="false">SUM(D47:G47)</f>
        <v>174439726.557995</v>
      </c>
      <c r="J70" s="426" t="s">
        <v>313</v>
      </c>
      <c r="K70" s="427"/>
      <c r="L70" s="2"/>
      <c r="M70" s="428" t="s">
        <v>314</v>
      </c>
      <c r="N70" s="458" t="n">
        <f aca="false">F53</f>
        <v>15.4068510402063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customFormat="false" ht="12.75" hidden="false" customHeight="true" outlineLevel="0" collapsed="false">
      <c r="A71" s="431"/>
      <c r="B71" s="96" t="s">
        <v>315</v>
      </c>
      <c r="C71" s="96" t="s">
        <v>316</v>
      </c>
      <c r="D71" s="96" t="s">
        <v>142</v>
      </c>
      <c r="E71" s="2"/>
      <c r="F71" s="2"/>
      <c r="G71" s="2"/>
      <c r="H71" s="2"/>
      <c r="I71" s="430" t="n">
        <f aca="false">SUM(L47:O47)</f>
        <v>171757173.340965</v>
      </c>
      <c r="J71" s="431" t="s">
        <v>317</v>
      </c>
      <c r="K71" s="432"/>
      <c r="L71" s="2"/>
      <c r="M71" s="433" t="s">
        <v>318</v>
      </c>
      <c r="N71" s="459" t="n">
        <f aca="false">N53</f>
        <v>15.9332512939739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customFormat="false" ht="12.75" hidden="false" customHeight="true" outlineLevel="0" collapsed="false">
      <c r="A72" s="431" t="s">
        <v>284</v>
      </c>
      <c r="B72" s="460" t="n">
        <v>53</v>
      </c>
      <c r="C72" s="127" t="n">
        <f aca="false">L53</f>
        <v>49.637343</v>
      </c>
      <c r="D72" s="128" t="n">
        <f aca="false">C72-B72</f>
        <v>-3.362656999</v>
      </c>
      <c r="E72" s="2"/>
      <c r="F72" s="2"/>
      <c r="G72" s="2"/>
      <c r="H72" s="2"/>
      <c r="I72" s="430" t="n">
        <f aca="false">SUM(T49:W49)</f>
        <v>156331574.50029</v>
      </c>
      <c r="J72" s="431" t="s">
        <v>319</v>
      </c>
      <c r="K72" s="432"/>
      <c r="L72" s="2"/>
      <c r="M72" s="433" t="s">
        <v>320</v>
      </c>
      <c r="N72" s="459" t="n">
        <f aca="false">V55</f>
        <v>18.9602694774272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customFormat="false" ht="13.5" hidden="false" customHeight="true" outlineLevel="0" collapsed="false">
      <c r="A73" s="431" t="s">
        <v>321</v>
      </c>
      <c r="B73" s="461" t="n">
        <v>0.2</v>
      </c>
      <c r="C73" s="462" t="n">
        <f aca="false">(SUM(D21:G21)+SUM(D22:G22))/SUM(L29:O29)</f>
        <v>0.2129186202</v>
      </c>
      <c r="D73" s="462" t="n">
        <f aca="false">ABS(B73-C73)</f>
        <v>0.01291862016</v>
      </c>
      <c r="E73" s="2"/>
      <c r="F73" s="2"/>
      <c r="G73" s="2"/>
      <c r="H73" s="2"/>
      <c r="I73" s="435" t="n">
        <f aca="false">SUM(AB36:AE36)</f>
        <v>145124091.395115</v>
      </c>
      <c r="J73" s="436" t="s">
        <v>322</v>
      </c>
      <c r="K73" s="437"/>
      <c r="L73" s="2"/>
      <c r="M73" s="433" t="s">
        <v>323</v>
      </c>
      <c r="N73" s="459" t="n">
        <f aca="false">AD42</f>
        <v>21.1595299822656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443" t="n">
        <f aca="false">MAX(I70:I73)-MIN(I70:I73)</f>
        <v>29315635.1628801</v>
      </c>
      <c r="J74" s="439" t="s">
        <v>324</v>
      </c>
      <c r="K74" s="440"/>
      <c r="L74" s="2"/>
      <c r="M74" s="441" t="s">
        <v>325</v>
      </c>
      <c r="N74" s="463" t="n">
        <f aca="false">MAX(N70:N73)-MIN(N70:N73)</f>
        <v>5.75267894205924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customFormat="false" ht="13.5" hidden="false" customHeight="true" outlineLevel="0" collapsed="false">
      <c r="A75" s="431" t="s">
        <v>326</v>
      </c>
      <c r="B75" s="431"/>
      <c r="C75" s="431"/>
      <c r="D75" s="464" t="n">
        <f aca="false">12*(Inputs!$AD$135+Inputs!$BB$135)/Inputs!$D$39*L16</f>
        <v>17589478.7117289</v>
      </c>
      <c r="E75" s="464" t="n">
        <f aca="false">12*(Inputs!$AD$135+Inputs!$BB$135)/Inputs!$D$39*M16</f>
        <v>25504369.8006987</v>
      </c>
      <c r="F75" s="464" t="n">
        <f aca="false">12*(Inputs!$AD$135+Inputs!$BB$135)/Inputs!$D$39*N16</f>
        <v>36981336.2110131</v>
      </c>
      <c r="G75" s="464" t="n">
        <f aca="false">12*(Inputs!$AD$135+Inputs!$BB$135)/Inputs!$D$39*O16</f>
        <v>53622937.5061264</v>
      </c>
      <c r="H75" s="2"/>
      <c r="I75" s="443" t="n">
        <f aca="false">AVERAGE(I70:I73)</f>
        <v>161913141.448591</v>
      </c>
      <c r="J75" s="439" t="s">
        <v>327</v>
      </c>
      <c r="K75" s="440"/>
      <c r="L75" s="2"/>
      <c r="M75" s="441" t="s">
        <v>328</v>
      </c>
      <c r="N75" s="463" t="n">
        <f aca="false">AVERAGE(N70:N73)</f>
        <v>17.8649754484682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customFormat="false" ht="12.75" hidden="false" customHeight="true" outlineLevel="0" collapsed="false">
      <c r="A76" s="431" t="s">
        <v>329</v>
      </c>
      <c r="B76" s="431"/>
      <c r="C76" s="431"/>
      <c r="D76" s="464" t="n">
        <f aca="false">12*(Inputs!$AE$135+Inputs!$BC$135)/Inputs!$D$39*L16</f>
        <v>7071614.33125852</v>
      </c>
      <c r="E76" s="464" t="n">
        <f aca="false">12*(Inputs!$AE$135+Inputs!$BC$135)/Inputs!$D$39*M16</f>
        <v>10253690.285436</v>
      </c>
      <c r="F76" s="464" t="n">
        <f aca="false">12*(Inputs!$AE$135+Inputs!$BC$135)/Inputs!$D$39*N16</f>
        <v>14867850.9138822</v>
      </c>
      <c r="G76" s="464" t="n">
        <f aca="false">12*(Inputs!$AE$135+Inputs!$BC$135)/Inputs!$D$39*O16</f>
        <v>21558383.8251925</v>
      </c>
      <c r="H76" s="2"/>
      <c r="I76" s="445" t="n">
        <f aca="false">MAX(I70:I73)/I75-1</f>
        <v>0.0773660803399412</v>
      </c>
      <c r="J76" s="426" t="s">
        <v>307</v>
      </c>
      <c r="K76" s="427"/>
      <c r="L76" s="2"/>
      <c r="M76" s="433" t="s">
        <v>307</v>
      </c>
      <c r="N76" s="446" t="n">
        <f aca="false">MAX(N70:N73)/N75-1</f>
        <v>0.184414165208372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customFormat="false" ht="13.5" hidden="false" customHeight="true" outlineLevel="0" collapsed="false">
      <c r="A77" s="431" t="s">
        <v>330</v>
      </c>
      <c r="B77" s="431"/>
      <c r="C77" s="431"/>
      <c r="D77" s="465" t="n">
        <f aca="false">Inputs!$AY$135*12/Inputs!$D$39*L16</f>
        <v>155705306.8</v>
      </c>
      <c r="E77" s="465" t="n">
        <f aca="false">Inputs!$AY$135*12/Inputs!$D$39*M16</f>
        <v>225769381.3</v>
      </c>
      <c r="F77" s="465" t="n">
        <f aca="false">Inputs!$AY$135*12/Inputs!$D$39*N16</f>
        <v>327365602.9</v>
      </c>
      <c r="G77" s="465" t="n">
        <f aca="false">Inputs!$AY$135*12/Inputs!$D$39*O16</f>
        <v>474680124.1</v>
      </c>
      <c r="H77" s="2"/>
      <c r="I77" s="449" t="n">
        <f aca="false">MIN(I70:I73)/I75-1</f>
        <v>-0.103691707191085</v>
      </c>
      <c r="J77" s="436" t="s">
        <v>309</v>
      </c>
      <c r="K77" s="437"/>
      <c r="L77" s="2"/>
      <c r="M77" s="433" t="s">
        <v>309</v>
      </c>
      <c r="N77" s="446" t="n">
        <f aca="false">MIN(N70:N73)/N75-1</f>
        <v>-0.137594614409206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customFormat="false" ht="13.5" hidden="false" customHeight="true" outlineLevel="0" collapsed="false">
      <c r="A78" s="431" t="s">
        <v>331</v>
      </c>
      <c r="B78" s="431"/>
      <c r="C78" s="431"/>
      <c r="D78" s="465" t="n">
        <f aca="false">Inputs!$AZ$135*12/Inputs!$D$39*L16</f>
        <v>63234032.91</v>
      </c>
      <c r="E78" s="465" t="n">
        <f aca="false">Inputs!$AZ$135*12/Inputs!$D$39*M16</f>
        <v>91688002.01</v>
      </c>
      <c r="F78" s="465" t="n">
        <f aca="false">Inputs!$AZ$135*12/Inputs!$D$39*N16</f>
        <v>132947602.9</v>
      </c>
      <c r="G78" s="465" t="n">
        <f aca="false">Inputs!$AZ$135*12/Inputs!$D$39*O16</f>
        <v>192774024.2</v>
      </c>
      <c r="H78" s="2"/>
      <c r="I78" s="453" t="n">
        <f aca="false">I74/I75</f>
        <v>0.181057787531027</v>
      </c>
      <c r="J78" s="439" t="s">
        <v>311</v>
      </c>
      <c r="K78" s="440"/>
      <c r="L78" s="2"/>
      <c r="M78" s="441" t="s">
        <v>311</v>
      </c>
      <c r="N78" s="454" t="n">
        <f aca="false">N74/N75</f>
        <v>0.322008779617577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customFormat="false" ht="13.5" hidden="false" customHeight="true" outlineLevel="0" collapsed="false">
      <c r="A79" s="431" t="s">
        <v>332</v>
      </c>
      <c r="B79" s="431"/>
      <c r="C79" s="431"/>
      <c r="D79" s="465" t="n">
        <f aca="false">Inputs!$BA$135/Inputs!$D$39*L16</f>
        <v>11728.8932</v>
      </c>
      <c r="E79" s="465" t="n">
        <f aca="false">Inputs!$BA$135/Inputs!$D$39*M16</f>
        <v>17006.64553</v>
      </c>
      <c r="F79" s="465" t="n">
        <f aca="false">Inputs!$BA$135/Inputs!$D$39*N16</f>
        <v>24659.63602</v>
      </c>
      <c r="G79" s="465" t="n">
        <f aca="false">Inputs!$BA$135/Inputs!$D$39*O16</f>
        <v>35756.47223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customFormat="false" ht="12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425" t="n">
        <f aca="false">SUM(D49:G49)</f>
        <v>78513825.7996141</v>
      </c>
      <c r="J80" s="426" t="s">
        <v>333</v>
      </c>
      <c r="K80" s="42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customFormat="fals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430" t="n">
        <f aca="false">SUM(L49:O49)</f>
        <v>81196379.0166443</v>
      </c>
      <c r="J81" s="431" t="s">
        <v>334</v>
      </c>
      <c r="K81" s="43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customFormat="false" ht="12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430" t="n">
        <f aca="false">SUM(T51:W51)</f>
        <v>96621977.8573196</v>
      </c>
      <c r="J82" s="431" t="s">
        <v>335</v>
      </c>
      <c r="K82" s="43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435" t="n">
        <f aca="false">SUM(AB38:AE38)</f>
        <v>107829460.962494</v>
      </c>
      <c r="J83" s="436" t="s">
        <v>336</v>
      </c>
      <c r="K83" s="43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443" t="n">
        <f aca="false">MAX(I80:I83)-MIN(I80:I83)</f>
        <v>29315635.1628801</v>
      </c>
      <c r="J84" s="439" t="s">
        <v>337</v>
      </c>
      <c r="K84" s="44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443" t="n">
        <f aca="false">AVERAGE(I80:I83)</f>
        <v>91040410.909018</v>
      </c>
      <c r="J85" s="439" t="s">
        <v>338</v>
      </c>
      <c r="K85" s="44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customFormat="false" ht="12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445" t="n">
        <f aca="false">MAX(I80:I83)/I85-1</f>
        <v>0.184413162087486</v>
      </c>
      <c r="J86" s="426" t="s">
        <v>307</v>
      </c>
      <c r="K86" s="42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449" t="n">
        <f aca="false">MIN(I80:I83)/I85-1</f>
        <v>-0.137593679381813</v>
      </c>
      <c r="J87" s="436" t="s">
        <v>309</v>
      </c>
      <c r="K87" s="43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453" t="n">
        <f aca="false">I84/I85</f>
        <v>0.3220068414693</v>
      </c>
      <c r="J88" s="439" t="s">
        <v>311</v>
      </c>
      <c r="K88" s="440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8">
    <mergeCell ref="A1:G1"/>
    <mergeCell ref="I1:O1"/>
    <mergeCell ref="Q1:W1"/>
    <mergeCell ref="Y1:AE1"/>
    <mergeCell ref="A2:G2"/>
    <mergeCell ref="I2:O2"/>
    <mergeCell ref="Q2:W2"/>
    <mergeCell ref="Y2:AE2"/>
    <mergeCell ref="A3:G3"/>
    <mergeCell ref="I3:O3"/>
    <mergeCell ref="Q3:W3"/>
    <mergeCell ref="Y3:AE3"/>
    <mergeCell ref="A4:G4"/>
    <mergeCell ref="I4:O4"/>
    <mergeCell ref="Q4:W4"/>
    <mergeCell ref="Y4:AE4"/>
    <mergeCell ref="D5:G5"/>
    <mergeCell ref="L5:O5"/>
    <mergeCell ref="T5:W5"/>
    <mergeCell ref="AB5:AE5"/>
    <mergeCell ref="AB40:AE40"/>
    <mergeCell ref="Y45:AE46"/>
    <mergeCell ref="D51:G51"/>
    <mergeCell ref="L51:O51"/>
    <mergeCell ref="T53:W53"/>
    <mergeCell ref="A56:G57"/>
    <mergeCell ref="I56:O57"/>
    <mergeCell ref="Q58:W5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37.57"/>
    <col collapsed="false" customWidth="true" hidden="false" outlineLevel="0" max="3" min="2" style="0" width="9"/>
    <col collapsed="false" customWidth="true" hidden="false" outlineLevel="0" max="4" min="4" style="0" width="19.14"/>
    <col collapsed="false" customWidth="true" hidden="false" outlineLevel="0" max="7" min="5" style="0" width="14.86"/>
    <col collapsed="false" customWidth="true" hidden="false" outlineLevel="0" max="8" min="8" style="0" width="1.58"/>
    <col collapsed="false" customWidth="true" hidden="false" outlineLevel="0" max="9" min="9" style="0" width="36.71"/>
    <col collapsed="false" customWidth="true" hidden="false" outlineLevel="0" max="11" min="10" style="0" width="9"/>
    <col collapsed="false" customWidth="true" hidden="false" outlineLevel="0" max="14" min="12" style="0" width="15.42"/>
    <col collapsed="false" customWidth="true" hidden="false" outlineLevel="0" max="15" min="15" style="0" width="16.43"/>
    <col collapsed="false" customWidth="true" hidden="false" outlineLevel="0" max="16" min="16" style="0" width="1"/>
    <col collapsed="false" customWidth="true" hidden="false" outlineLevel="0" max="17" min="17" style="0" width="37.3"/>
    <col collapsed="false" customWidth="true" hidden="false" outlineLevel="0" max="18" min="18" style="0" width="9.29"/>
    <col collapsed="false" customWidth="true" hidden="false" outlineLevel="0" max="19" min="19" style="0" width="9.71"/>
    <col collapsed="false" customWidth="true" hidden="false" outlineLevel="0" max="23" min="20" style="0" width="15.42"/>
    <col collapsed="false" customWidth="true" hidden="false" outlineLevel="0" max="33" min="24" style="0" width="9"/>
    <col collapsed="false" customWidth="true" hidden="false" outlineLevel="0" max="1025" min="34" style="0" width="14.43"/>
  </cols>
  <sheetData>
    <row r="1" customFormat="false" ht="13.5" hidden="false" customHeight="true" outlineLevel="0" collapsed="false">
      <c r="A1" s="466" t="s">
        <v>339</v>
      </c>
      <c r="B1" s="466"/>
      <c r="C1" s="466"/>
      <c r="D1" s="466"/>
      <c r="E1" s="466"/>
      <c r="F1" s="466"/>
      <c r="G1" s="466"/>
      <c r="H1" s="2"/>
      <c r="I1" s="466" t="s">
        <v>340</v>
      </c>
      <c r="J1" s="466"/>
      <c r="K1" s="466"/>
      <c r="L1" s="466"/>
      <c r="M1" s="466"/>
      <c r="N1" s="466"/>
      <c r="O1" s="466"/>
      <c r="P1" s="2"/>
      <c r="Q1" s="466" t="s">
        <v>244</v>
      </c>
      <c r="R1" s="466"/>
      <c r="S1" s="466"/>
      <c r="T1" s="466"/>
      <c r="U1" s="466"/>
      <c r="V1" s="466"/>
      <c r="W1" s="466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2.75" hidden="false" customHeight="true" outlineLevel="0" collapsed="false">
      <c r="A2" s="18" t="s">
        <v>179</v>
      </c>
      <c r="B2" s="18"/>
      <c r="C2" s="18"/>
      <c r="D2" s="18"/>
      <c r="E2" s="18"/>
      <c r="F2" s="18"/>
      <c r="G2" s="18"/>
      <c r="H2" s="2"/>
      <c r="I2" s="18" t="str">
        <f aca="false">A2</f>
        <v>Entity 2</v>
      </c>
      <c r="J2" s="18"/>
      <c r="K2" s="18"/>
      <c r="L2" s="18"/>
      <c r="M2" s="18"/>
      <c r="N2" s="18"/>
      <c r="O2" s="18"/>
      <c r="P2" s="2"/>
      <c r="Q2" s="18" t="str">
        <f aca="false">A2</f>
        <v>Entity 2</v>
      </c>
      <c r="R2" s="18"/>
      <c r="S2" s="18"/>
      <c r="T2" s="18"/>
      <c r="U2" s="18"/>
      <c r="V2" s="18"/>
      <c r="W2" s="18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2.75" hidden="false" customHeight="true" outlineLevel="0" collapsed="false">
      <c r="A3" s="29" t="s">
        <v>341</v>
      </c>
      <c r="B3" s="29"/>
      <c r="C3" s="29"/>
      <c r="D3" s="29"/>
      <c r="E3" s="29"/>
      <c r="F3" s="29"/>
      <c r="G3" s="29"/>
      <c r="H3" s="2"/>
      <c r="I3" s="29" t="str">
        <f aca="false">A3</f>
        <v>Revenue and Costs</v>
      </c>
      <c r="J3" s="29"/>
      <c r="K3" s="29"/>
      <c r="L3" s="29"/>
      <c r="M3" s="29"/>
      <c r="N3" s="29"/>
      <c r="O3" s="29"/>
      <c r="P3" s="2"/>
      <c r="Q3" s="29" t="str">
        <f aca="false">A3</f>
        <v>Revenue and Costs</v>
      </c>
      <c r="R3" s="29"/>
      <c r="S3" s="29"/>
      <c r="T3" s="29"/>
      <c r="U3" s="29"/>
      <c r="V3" s="29"/>
      <c r="W3" s="29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false" ht="12.75" hidden="false" customHeight="true" outlineLevel="0" collapsed="false">
      <c r="A4" s="29" t="s">
        <v>247</v>
      </c>
      <c r="B4" s="29"/>
      <c r="C4" s="29"/>
      <c r="D4" s="29"/>
      <c r="E4" s="29"/>
      <c r="F4" s="29"/>
      <c r="G4" s="29"/>
      <c r="H4" s="2"/>
      <c r="I4" s="29" t="s">
        <v>247</v>
      </c>
      <c r="J4" s="29"/>
      <c r="K4" s="29"/>
      <c r="L4" s="29"/>
      <c r="M4" s="29"/>
      <c r="N4" s="29"/>
      <c r="O4" s="29"/>
      <c r="P4" s="2"/>
      <c r="Q4" s="29" t="s">
        <v>247</v>
      </c>
      <c r="R4" s="29"/>
      <c r="S4" s="29"/>
      <c r="T4" s="29"/>
      <c r="U4" s="29"/>
      <c r="V4" s="29"/>
      <c r="W4" s="29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false" ht="12.75" hidden="false" customHeight="true" outlineLevel="0" collapsed="false">
      <c r="A5" s="56"/>
      <c r="B5" s="2"/>
      <c r="C5" s="2"/>
      <c r="D5" s="93" t="str">
        <f aca="false">"Assumes a customer growth rate of "&amp;Inputs!E154*100&amp;"%"</f>
        <v>Assumes a customer growth rate of 10%</v>
      </c>
      <c r="E5" s="93"/>
      <c r="F5" s="93"/>
      <c r="G5" s="93"/>
      <c r="H5" s="2"/>
      <c r="I5" s="56"/>
      <c r="J5" s="2"/>
      <c r="K5" s="2"/>
      <c r="L5" s="93" t="str">
        <f aca="false">D5</f>
        <v>Assumes a customer growth rate of 10%</v>
      </c>
      <c r="M5" s="93"/>
      <c r="N5" s="93"/>
      <c r="O5" s="93"/>
      <c r="P5" s="2"/>
      <c r="Q5" s="391"/>
      <c r="R5" s="2"/>
      <c r="S5" s="148"/>
      <c r="T5" s="93" t="str">
        <f aca="false">D5</f>
        <v>Assumes a customer growth rate of 10%</v>
      </c>
      <c r="U5" s="93"/>
      <c r="V5" s="93"/>
      <c r="W5" s="93"/>
      <c r="X5" s="148"/>
      <c r="Y5" s="2"/>
      <c r="Z5" s="2"/>
      <c r="AA5" s="2"/>
      <c r="AB5" s="2"/>
      <c r="AC5" s="2"/>
      <c r="AD5" s="2"/>
      <c r="AE5" s="2"/>
      <c r="AF5" s="2"/>
      <c r="AG5" s="2"/>
    </row>
    <row r="6" customFormat="false" ht="12.75" hidden="false" customHeight="true" outlineLevel="0" collapsed="false">
      <c r="A6" s="185" t="s">
        <v>248</v>
      </c>
      <c r="B6" s="1"/>
      <c r="C6" s="1"/>
      <c r="D6" s="27" t="s">
        <v>342</v>
      </c>
      <c r="E6" s="27" t="s">
        <v>343</v>
      </c>
      <c r="F6" s="27" t="s">
        <v>344</v>
      </c>
      <c r="G6" s="28" t="s">
        <v>345</v>
      </c>
      <c r="H6" s="2"/>
      <c r="I6" s="185" t="str">
        <f aca="false">A6</f>
        <v>Customers</v>
      </c>
      <c r="J6" s="1"/>
      <c r="K6" s="1"/>
      <c r="L6" s="27" t="str">
        <f aca="false">D6</f>
        <v>2008-2009</v>
      </c>
      <c r="M6" s="27" t="str">
        <f aca="false">E6</f>
        <v>2009-2010</v>
      </c>
      <c r="N6" s="27" t="str">
        <f aca="false">F6</f>
        <v>2010-2011</v>
      </c>
      <c r="O6" s="28" t="str">
        <f aca="false">G6</f>
        <v>2011-2012</v>
      </c>
      <c r="P6" s="2"/>
      <c r="Q6" s="185" t="str">
        <f aca="false">I6</f>
        <v>Customers</v>
      </c>
      <c r="R6" s="2"/>
      <c r="S6" s="2"/>
      <c r="T6" s="27" t="s">
        <v>342</v>
      </c>
      <c r="U6" s="27" t="s">
        <v>343</v>
      </c>
      <c r="V6" s="27" t="s">
        <v>344</v>
      </c>
      <c r="W6" s="28" t="s">
        <v>345</v>
      </c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false" ht="12.75" hidden="false" customHeight="true" outlineLevel="0" collapsed="false">
      <c r="A7" s="20" t="s">
        <v>8</v>
      </c>
      <c r="B7" s="2"/>
      <c r="C7" s="2"/>
      <c r="D7" s="5" t="n">
        <f aca="false">Inputs!C158</f>
        <v>2133333.333</v>
      </c>
      <c r="E7" s="5" t="n">
        <f aca="false">D7-E55+E50</f>
        <v>2239999.9996</v>
      </c>
      <c r="F7" s="5" t="n">
        <f aca="false">E7-F55+F50</f>
        <v>2351999.9996</v>
      </c>
      <c r="G7" s="230" t="n">
        <f aca="false">F7-G55+G50</f>
        <v>2469599.9996</v>
      </c>
      <c r="H7" s="2"/>
      <c r="I7" s="20" t="str">
        <f aca="false">A7</f>
        <v>Product 1</v>
      </c>
      <c r="J7" s="2"/>
      <c r="K7" s="2"/>
      <c r="L7" s="5" t="n">
        <f aca="false">D7</f>
        <v>2133333.333</v>
      </c>
      <c r="M7" s="5" t="n">
        <f aca="false">E7</f>
        <v>2239999.9996</v>
      </c>
      <c r="N7" s="5" t="n">
        <f aca="false">F7</f>
        <v>2351999.9996</v>
      </c>
      <c r="O7" s="230" t="n">
        <f aca="false">G7</f>
        <v>2469599.9996</v>
      </c>
      <c r="P7" s="2"/>
      <c r="Q7" s="20" t="str">
        <f aca="false">I7</f>
        <v>Product 1</v>
      </c>
      <c r="R7" s="2"/>
      <c r="S7" s="2"/>
      <c r="T7" s="5" t="n">
        <f aca="false">D7</f>
        <v>2133333.333</v>
      </c>
      <c r="U7" s="5" t="n">
        <f aca="false">E7</f>
        <v>2239999.9996</v>
      </c>
      <c r="V7" s="5" t="n">
        <f aca="false">F7</f>
        <v>2351999.9996</v>
      </c>
      <c r="W7" s="230" t="n">
        <f aca="false">G7</f>
        <v>2469599.9996</v>
      </c>
      <c r="X7" s="2"/>
      <c r="Y7" s="2"/>
      <c r="Z7" s="2"/>
      <c r="AA7" s="2"/>
      <c r="AB7" s="2"/>
      <c r="AC7" s="2"/>
      <c r="AD7" s="2"/>
      <c r="AE7" s="2"/>
      <c r="AF7" s="2"/>
      <c r="AG7" s="2"/>
    </row>
    <row r="8" customFormat="false" ht="12.75" hidden="false" customHeight="true" outlineLevel="0" collapsed="false">
      <c r="A8" s="20" t="s">
        <v>31</v>
      </c>
      <c r="B8" s="2"/>
      <c r="C8" s="2"/>
      <c r="D8" s="5" t="n">
        <f aca="false">Inputs!D158</f>
        <v>266666.6667</v>
      </c>
      <c r="E8" s="5" t="n">
        <f aca="false">D8-E56+E51</f>
        <v>280000.00004</v>
      </c>
      <c r="F8" s="5" t="n">
        <f aca="false">E8-F56+F51</f>
        <v>294000.00004</v>
      </c>
      <c r="G8" s="230" t="n">
        <f aca="false">F8-G56+G51</f>
        <v>308700.00004</v>
      </c>
      <c r="H8" s="2"/>
      <c r="I8" s="20" t="str">
        <f aca="false">A8</f>
        <v>Product 2</v>
      </c>
      <c r="J8" s="2"/>
      <c r="K8" s="2"/>
      <c r="L8" s="5" t="n">
        <f aca="false">D8</f>
        <v>266666.6667</v>
      </c>
      <c r="M8" s="5" t="n">
        <f aca="false">E8</f>
        <v>280000.00004</v>
      </c>
      <c r="N8" s="5" t="n">
        <f aca="false">F8</f>
        <v>294000.00004</v>
      </c>
      <c r="O8" s="230" t="n">
        <f aca="false">G8</f>
        <v>308700.00004</v>
      </c>
      <c r="P8" s="2"/>
      <c r="Q8" s="20" t="str">
        <f aca="false">I8</f>
        <v>Product 2</v>
      </c>
      <c r="R8" s="2"/>
      <c r="S8" s="2"/>
      <c r="T8" s="5" t="n">
        <f aca="false">D8</f>
        <v>266666.6667</v>
      </c>
      <c r="U8" s="5" t="n">
        <f aca="false">E8</f>
        <v>280000.00004</v>
      </c>
      <c r="V8" s="5" t="n">
        <f aca="false">F8</f>
        <v>294000.00004</v>
      </c>
      <c r="W8" s="230" t="n">
        <f aca="false">G8</f>
        <v>308700.00004</v>
      </c>
      <c r="X8" s="2"/>
      <c r="Y8" s="2"/>
      <c r="Z8" s="2"/>
      <c r="AA8" s="2"/>
      <c r="AB8" s="2"/>
      <c r="AC8" s="2"/>
      <c r="AD8" s="2"/>
      <c r="AE8" s="2"/>
      <c r="AF8" s="2"/>
      <c r="AG8" s="2"/>
    </row>
    <row r="9" customFormat="false" ht="12.75" hidden="false" customHeight="true" outlineLevel="0" collapsed="false">
      <c r="A9" s="20" t="s">
        <v>34</v>
      </c>
      <c r="B9" s="2"/>
      <c r="C9" s="2"/>
      <c r="D9" s="5" t="n">
        <f aca="false">Inputs!E158</f>
        <v>266666.6667</v>
      </c>
      <c r="E9" s="5" t="n">
        <f aca="false">D9-E57+E52</f>
        <v>280000.00004</v>
      </c>
      <c r="F9" s="5" t="n">
        <f aca="false">E9-F57+F52</f>
        <v>294000.00004</v>
      </c>
      <c r="G9" s="230" t="n">
        <f aca="false">F9-G57+G52</f>
        <v>308700.00004</v>
      </c>
      <c r="H9" s="2"/>
      <c r="I9" s="20" t="str">
        <f aca="false">A9</f>
        <v>Product 3</v>
      </c>
      <c r="J9" s="2"/>
      <c r="K9" s="2"/>
      <c r="L9" s="5" t="n">
        <f aca="false">D9</f>
        <v>266666.6667</v>
      </c>
      <c r="M9" s="5" t="n">
        <f aca="false">E9</f>
        <v>280000.00004</v>
      </c>
      <c r="N9" s="5" t="n">
        <f aca="false">F9</f>
        <v>294000.00004</v>
      </c>
      <c r="O9" s="230" t="n">
        <f aca="false">G9</f>
        <v>308700.00004</v>
      </c>
      <c r="P9" s="2"/>
      <c r="Q9" s="20" t="str">
        <f aca="false">I9</f>
        <v>Product 3</v>
      </c>
      <c r="R9" s="2"/>
      <c r="S9" s="2"/>
      <c r="T9" s="5" t="n">
        <f aca="false">D9</f>
        <v>266666.6667</v>
      </c>
      <c r="U9" s="5" t="n">
        <f aca="false">E9</f>
        <v>280000.00004</v>
      </c>
      <c r="V9" s="5" t="n">
        <f aca="false">F9</f>
        <v>294000.00004</v>
      </c>
      <c r="W9" s="230" t="n">
        <f aca="false">G9</f>
        <v>308700.00004</v>
      </c>
      <c r="X9" s="2"/>
      <c r="Y9" s="2"/>
      <c r="Z9" s="2"/>
      <c r="AA9" s="2"/>
      <c r="AB9" s="2"/>
      <c r="AC9" s="2"/>
      <c r="AD9" s="2"/>
      <c r="AE9" s="2"/>
      <c r="AF9" s="2"/>
      <c r="AG9" s="2"/>
    </row>
    <row r="10" customFormat="false" ht="12.75" hidden="false" customHeight="true" outlineLevel="0" collapsed="false">
      <c r="A10" s="20" t="s">
        <v>346</v>
      </c>
      <c r="B10" s="2"/>
      <c r="C10" s="2"/>
      <c r="D10" s="72" t="n">
        <f aca="false">Inputs!F158</f>
        <v>1000000</v>
      </c>
      <c r="E10" s="72" t="n">
        <f aca="false">D10-E58+E53</f>
        <v>1050000</v>
      </c>
      <c r="F10" s="72" t="n">
        <f aca="false">E10-F58+F53</f>
        <v>1102500</v>
      </c>
      <c r="G10" s="283" t="n">
        <f aca="false">F10-G58+G53</f>
        <v>1157625</v>
      </c>
      <c r="H10" s="2"/>
      <c r="I10" s="20" t="str">
        <f aca="false">A10</f>
        <v>Prodcut 4</v>
      </c>
      <c r="J10" s="2"/>
      <c r="K10" s="2"/>
      <c r="L10" s="72" t="n">
        <f aca="false">D10</f>
        <v>1000000</v>
      </c>
      <c r="M10" s="72" t="n">
        <f aca="false">E10</f>
        <v>1050000</v>
      </c>
      <c r="N10" s="72" t="n">
        <f aca="false">F10</f>
        <v>1102500</v>
      </c>
      <c r="O10" s="283" t="n">
        <f aca="false">G10</f>
        <v>1157625</v>
      </c>
      <c r="P10" s="2"/>
      <c r="Q10" s="20" t="str">
        <f aca="false">I10</f>
        <v>Prodcut 4</v>
      </c>
      <c r="R10" s="2"/>
      <c r="S10" s="2"/>
      <c r="T10" s="72" t="n">
        <f aca="false">D10</f>
        <v>1000000</v>
      </c>
      <c r="U10" s="72" t="n">
        <f aca="false">E10</f>
        <v>1050000</v>
      </c>
      <c r="V10" s="72" t="n">
        <f aca="false">F10</f>
        <v>1102500</v>
      </c>
      <c r="W10" s="283" t="n">
        <f aca="false">G10</f>
        <v>1157625</v>
      </c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false" ht="12.75" hidden="false" customHeight="true" outlineLevel="0" collapsed="false">
      <c r="A11" s="392" t="s">
        <v>253</v>
      </c>
      <c r="B11" s="1"/>
      <c r="C11" s="1"/>
      <c r="D11" s="393" t="n">
        <f aca="false">ROUNDUP(SUM(D7:D10),0)</f>
        <v>3666667</v>
      </c>
      <c r="E11" s="393" t="n">
        <f aca="false">SUM(E7:E10)</f>
        <v>3849999.99968</v>
      </c>
      <c r="F11" s="393" t="n">
        <f aca="false">SUM(F7:F10)</f>
        <v>4042499.99968</v>
      </c>
      <c r="G11" s="394" t="n">
        <f aca="false">SUM(G7:G10)</f>
        <v>4244624.99968</v>
      </c>
      <c r="H11" s="2"/>
      <c r="I11" s="392" t="str">
        <f aca="false">A11</f>
        <v>Total Subscribers*</v>
      </c>
      <c r="J11" s="1"/>
      <c r="K11" s="1"/>
      <c r="L11" s="393" t="n">
        <f aca="false">ROUNDUP(SUM(L7:L10),0)</f>
        <v>3666667</v>
      </c>
      <c r="M11" s="393" t="n">
        <f aca="false">SUM(M7:M10)</f>
        <v>3849999.99968</v>
      </c>
      <c r="N11" s="393" t="n">
        <f aca="false">SUM(N7:N10)</f>
        <v>4042499.99968</v>
      </c>
      <c r="O11" s="394" t="n">
        <f aca="false">SUM(O7:O10)</f>
        <v>4244624.99968</v>
      </c>
      <c r="P11" s="2"/>
      <c r="Q11" s="392" t="str">
        <f aca="false">I11</f>
        <v>Total Subscribers*</v>
      </c>
      <c r="R11" s="2"/>
      <c r="S11" s="2"/>
      <c r="T11" s="393" t="n">
        <f aca="false">SUM(T7:T10)</f>
        <v>3666666.6664</v>
      </c>
      <c r="U11" s="393" t="n">
        <f aca="false">SUM(U7:U10)</f>
        <v>3849999.99968</v>
      </c>
      <c r="V11" s="393" t="n">
        <f aca="false">SUM(V7:V10)</f>
        <v>4042499.99968</v>
      </c>
      <c r="W11" s="394" t="n">
        <f aca="false">SUM(W7:W10)</f>
        <v>4244624.99968</v>
      </c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customFormat="false" ht="12.75" hidden="false" customHeight="true" outlineLevel="0" collapsed="false">
      <c r="A12" s="56"/>
      <c r="B12" s="2"/>
      <c r="C12" s="2"/>
      <c r="D12" s="2"/>
      <c r="E12" s="2"/>
      <c r="F12" s="2"/>
      <c r="G12" s="25"/>
      <c r="H12" s="2"/>
      <c r="I12" s="20"/>
      <c r="J12" s="395"/>
      <c r="K12" s="395"/>
      <c r="L12" s="2"/>
      <c r="M12" s="2"/>
      <c r="N12" s="2"/>
      <c r="O12" s="25"/>
      <c r="P12" s="2"/>
      <c r="Q12" s="61"/>
      <c r="R12" s="2"/>
      <c r="S12" s="2"/>
      <c r="T12" s="2"/>
      <c r="U12" s="2"/>
      <c r="V12" s="2"/>
      <c r="W12" s="25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customFormat="false" ht="12.75" hidden="false" customHeight="true" outlineLevel="0" collapsed="false">
      <c r="A13" s="61" t="s">
        <v>80</v>
      </c>
      <c r="B13" s="395" t="s">
        <v>254</v>
      </c>
      <c r="C13" s="395" t="s">
        <v>255</v>
      </c>
      <c r="D13" s="27" t="str">
        <f aca="false">D6</f>
        <v>2008-2009</v>
      </c>
      <c r="E13" s="27" t="str">
        <f aca="false">E6</f>
        <v>2009-2010</v>
      </c>
      <c r="F13" s="27" t="str">
        <f aca="false">F6</f>
        <v>2010-2011</v>
      </c>
      <c r="G13" s="28" t="str">
        <f aca="false">G6</f>
        <v>2011-2012</v>
      </c>
      <c r="H13" s="2"/>
      <c r="I13" s="61" t="str">
        <f aca="false">A13</f>
        <v>Revenue</v>
      </c>
      <c r="J13" s="395" t="str">
        <f aca="false">B13</f>
        <v>NRC</v>
      </c>
      <c r="K13" s="395" t="str">
        <f aca="false">C13</f>
        <v>RC</v>
      </c>
      <c r="L13" s="27" t="str">
        <f aca="false">L6</f>
        <v>2008-2009</v>
      </c>
      <c r="M13" s="27" t="str">
        <f aca="false">M6</f>
        <v>2009-2010</v>
      </c>
      <c r="N13" s="27" t="str">
        <f aca="false">N6</f>
        <v>2010-2011</v>
      </c>
      <c r="O13" s="28" t="str">
        <f aca="false">O6</f>
        <v>2011-2012</v>
      </c>
      <c r="P13" s="2"/>
      <c r="Q13" s="61" t="str">
        <f aca="false">I13</f>
        <v>Revenue</v>
      </c>
      <c r="R13" s="395" t="str">
        <f aca="false">B13</f>
        <v>NRC</v>
      </c>
      <c r="S13" s="395" t="str">
        <f aca="false">C13</f>
        <v>RC</v>
      </c>
      <c r="T13" s="27" t="str">
        <f aca="false">D13</f>
        <v>2008-2009</v>
      </c>
      <c r="U13" s="27" t="str">
        <f aca="false">E13</f>
        <v>2009-2010</v>
      </c>
      <c r="V13" s="27" t="str">
        <f aca="false">F13</f>
        <v>2010-2011</v>
      </c>
      <c r="W13" s="467" t="str">
        <f aca="false">O13</f>
        <v>2011-2012</v>
      </c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customFormat="false" ht="12.75" hidden="false" customHeight="true" outlineLevel="0" collapsed="false">
      <c r="A14" s="20" t="str">
        <f aca="false">A7&amp;" Customer Activation"</f>
        <v>Product 1 Customer Activation</v>
      </c>
      <c r="B14" s="7" t="n">
        <f aca="false">Inputs!C152</f>
        <v>29.99</v>
      </c>
      <c r="C14" s="7"/>
      <c r="D14" s="402" t="n">
        <f aca="false">D50*$B14</f>
        <v>63978666.65667</v>
      </c>
      <c r="E14" s="402" t="n">
        <f aca="false">E50*$B14</f>
        <v>6397866.665667</v>
      </c>
      <c r="F14" s="402" t="n">
        <f aca="false">F50*$B14</f>
        <v>6717760</v>
      </c>
      <c r="G14" s="403" t="n">
        <f aca="false">G50*$B14</f>
        <v>7053648</v>
      </c>
      <c r="H14" s="2"/>
      <c r="I14" s="20" t="str">
        <f aca="false">A14</f>
        <v>Product 1 Customer Activation</v>
      </c>
      <c r="J14" s="7" t="n">
        <f aca="false">B14</f>
        <v>29.99</v>
      </c>
      <c r="K14" s="7"/>
      <c r="L14" s="402" t="n">
        <f aca="false">D14</f>
        <v>63978666.65667</v>
      </c>
      <c r="M14" s="402" t="n">
        <f aca="false">E14</f>
        <v>6397866.665667</v>
      </c>
      <c r="N14" s="402" t="n">
        <f aca="false">F14</f>
        <v>6717760</v>
      </c>
      <c r="O14" s="403" t="n">
        <f aca="false">G14</f>
        <v>7053648</v>
      </c>
      <c r="P14" s="2"/>
      <c r="Q14" s="20" t="str">
        <f aca="false">I14</f>
        <v>Product 1 Customer Activation</v>
      </c>
      <c r="R14" s="7" t="n">
        <f aca="false">B14</f>
        <v>29.99</v>
      </c>
      <c r="S14" s="7"/>
      <c r="T14" s="402" t="n">
        <f aca="false">D14</f>
        <v>63978666.65667</v>
      </c>
      <c r="U14" s="402" t="n">
        <f aca="false">E14</f>
        <v>6397866.665667</v>
      </c>
      <c r="V14" s="402" t="n">
        <f aca="false">F14</f>
        <v>6717760</v>
      </c>
      <c r="W14" s="403" t="n">
        <f aca="false">G14</f>
        <v>7053648</v>
      </c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customFormat="false" ht="12.75" hidden="false" customHeight="true" outlineLevel="0" collapsed="false">
      <c r="A15" s="20" t="str">
        <f aca="false">A8&amp;" Customer Activation"</f>
        <v>Product 2 Customer Activation</v>
      </c>
      <c r="B15" s="7" t="n">
        <f aca="false">Inputs!D152</f>
        <v>29.99</v>
      </c>
      <c r="C15" s="7"/>
      <c r="D15" s="402" t="n">
        <f aca="false">D51*$B15</f>
        <v>7997333.334333</v>
      </c>
      <c r="E15" s="402" t="n">
        <f aca="false">E51*$B15</f>
        <v>799733.3334333</v>
      </c>
      <c r="F15" s="402" t="n">
        <f aca="false">F51*$B15</f>
        <v>839720</v>
      </c>
      <c r="G15" s="403" t="n">
        <f aca="false">G51*$B15</f>
        <v>881706</v>
      </c>
      <c r="H15" s="2"/>
      <c r="I15" s="20" t="str">
        <f aca="false">A15</f>
        <v>Product 2 Customer Activation</v>
      </c>
      <c r="J15" s="7" t="n">
        <f aca="false">B15</f>
        <v>29.99</v>
      </c>
      <c r="K15" s="7"/>
      <c r="L15" s="402" t="n">
        <f aca="false">D15</f>
        <v>7997333.334333</v>
      </c>
      <c r="M15" s="402" t="n">
        <f aca="false">E15</f>
        <v>799733.3334333</v>
      </c>
      <c r="N15" s="402" t="n">
        <f aca="false">F15</f>
        <v>839720</v>
      </c>
      <c r="O15" s="403" t="n">
        <f aca="false">G15</f>
        <v>881706</v>
      </c>
      <c r="P15" s="2"/>
      <c r="Q15" s="20" t="str">
        <f aca="false">I15</f>
        <v>Product 2 Customer Activation</v>
      </c>
      <c r="R15" s="7" t="n">
        <f aca="false">B15</f>
        <v>29.99</v>
      </c>
      <c r="S15" s="7"/>
      <c r="T15" s="402" t="n">
        <f aca="false">D15</f>
        <v>7997333.334333</v>
      </c>
      <c r="U15" s="402" t="n">
        <f aca="false">E15</f>
        <v>799733.3334333</v>
      </c>
      <c r="V15" s="402" t="n">
        <f aca="false">F15</f>
        <v>839720</v>
      </c>
      <c r="W15" s="403" t="n">
        <f aca="false">G15</f>
        <v>881706</v>
      </c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customFormat="false" ht="12.75" hidden="false" customHeight="true" outlineLevel="0" collapsed="false">
      <c r="A16" s="20" t="str">
        <f aca="false">A9&amp;" Customer Activation"</f>
        <v>Product 3 Customer Activation</v>
      </c>
      <c r="B16" s="7" t="n">
        <f aca="false">Inputs!E152</f>
        <v>34.99</v>
      </c>
      <c r="C16" s="7"/>
      <c r="D16" s="402" t="n">
        <f aca="false">D52*$B16</f>
        <v>9330666.667833</v>
      </c>
      <c r="E16" s="402" t="n">
        <f aca="false">E52*$B16</f>
        <v>933066.6667833</v>
      </c>
      <c r="F16" s="402" t="n">
        <f aca="false">F52*$B16</f>
        <v>979720</v>
      </c>
      <c r="G16" s="403" t="n">
        <f aca="false">G52*$B16</f>
        <v>1028706</v>
      </c>
      <c r="H16" s="2"/>
      <c r="I16" s="20" t="str">
        <f aca="false">A16</f>
        <v>Product 3 Customer Activation</v>
      </c>
      <c r="J16" s="7" t="n">
        <f aca="false">B16</f>
        <v>34.99</v>
      </c>
      <c r="K16" s="7"/>
      <c r="L16" s="402" t="n">
        <f aca="false">D16</f>
        <v>9330666.667833</v>
      </c>
      <c r="M16" s="402" t="n">
        <f aca="false">E16</f>
        <v>933066.6667833</v>
      </c>
      <c r="N16" s="402" t="n">
        <f aca="false">F16</f>
        <v>979720</v>
      </c>
      <c r="O16" s="403" t="n">
        <f aca="false">G16</f>
        <v>1028706</v>
      </c>
      <c r="P16" s="2"/>
      <c r="Q16" s="20" t="str">
        <f aca="false">I16</f>
        <v>Product 3 Customer Activation</v>
      </c>
      <c r="R16" s="7" t="n">
        <f aca="false">B16</f>
        <v>34.99</v>
      </c>
      <c r="S16" s="7"/>
      <c r="T16" s="402" t="n">
        <f aca="false">D16</f>
        <v>9330666.667833</v>
      </c>
      <c r="U16" s="402" t="n">
        <f aca="false">E16</f>
        <v>933066.6667833</v>
      </c>
      <c r="V16" s="402" t="n">
        <f aca="false">F16</f>
        <v>979720</v>
      </c>
      <c r="W16" s="403" t="n">
        <f aca="false">G16</f>
        <v>1028706</v>
      </c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customFormat="false" ht="12.75" hidden="false" customHeight="true" outlineLevel="0" collapsed="false">
      <c r="A17" s="20" t="str">
        <f aca="false">A10&amp;" Customer Activation"</f>
        <v>Prodcut 4 Customer Activation</v>
      </c>
      <c r="B17" s="7" t="n">
        <f aca="false">Inputs!F152</f>
        <v>44.95</v>
      </c>
      <c r="C17" s="7"/>
      <c r="D17" s="402" t="n">
        <f aca="false">D53*$B17</f>
        <v>44950000</v>
      </c>
      <c r="E17" s="402" t="n">
        <f aca="false">E53*$B17</f>
        <v>4495000</v>
      </c>
      <c r="F17" s="402" t="n">
        <f aca="false">F53*$B17</f>
        <v>4719750</v>
      </c>
      <c r="G17" s="403" t="n">
        <f aca="false">G53*$B17</f>
        <v>4955737.5</v>
      </c>
      <c r="H17" s="2"/>
      <c r="I17" s="20" t="str">
        <f aca="false">A17</f>
        <v>Prodcut 4 Customer Activation</v>
      </c>
      <c r="J17" s="7" t="n">
        <f aca="false">B17</f>
        <v>44.95</v>
      </c>
      <c r="K17" s="7"/>
      <c r="L17" s="402" t="n">
        <f aca="false">D17</f>
        <v>44950000</v>
      </c>
      <c r="M17" s="402" t="n">
        <f aca="false">E17</f>
        <v>4495000</v>
      </c>
      <c r="N17" s="402" t="n">
        <f aca="false">F17</f>
        <v>4719750</v>
      </c>
      <c r="O17" s="403" t="n">
        <f aca="false">G17</f>
        <v>4955737.5</v>
      </c>
      <c r="P17" s="2"/>
      <c r="Q17" s="20" t="str">
        <f aca="false">I17</f>
        <v>Prodcut 4 Customer Activation</v>
      </c>
      <c r="R17" s="7" t="n">
        <f aca="false">B17</f>
        <v>44.95</v>
      </c>
      <c r="S17" s="7"/>
      <c r="T17" s="402" t="n">
        <f aca="false">D17</f>
        <v>44950000</v>
      </c>
      <c r="U17" s="402" t="n">
        <f aca="false">E17</f>
        <v>4495000</v>
      </c>
      <c r="V17" s="402" t="n">
        <f aca="false">F17</f>
        <v>4719750</v>
      </c>
      <c r="W17" s="403" t="n">
        <f aca="false">G17</f>
        <v>4955737.5</v>
      </c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customFormat="false" ht="12.75" hidden="false" customHeight="true" outlineLevel="0" collapsed="false">
      <c r="A18" s="20" t="str">
        <f aca="false">A7&amp;" Usage"</f>
        <v>Product 1 Usage</v>
      </c>
      <c r="B18" s="7"/>
      <c r="C18" s="7" t="n">
        <f aca="false">Inputs!C153</f>
        <v>19.95</v>
      </c>
      <c r="D18" s="402" t="n">
        <f aca="false">12*D7*$C18</f>
        <v>510719999.9202</v>
      </c>
      <c r="E18" s="402" t="n">
        <f aca="false">12*E7*$C18</f>
        <v>536255999.90424</v>
      </c>
      <c r="F18" s="402" t="n">
        <f aca="false">12*F7*$C18</f>
        <v>563068799.90424</v>
      </c>
      <c r="G18" s="403" t="n">
        <f aca="false">12*G7*$C18</f>
        <v>591222239.90424</v>
      </c>
      <c r="H18" s="2"/>
      <c r="I18" s="20" t="str">
        <f aca="false">A18</f>
        <v>Product 1 Usage</v>
      </c>
      <c r="J18" s="7"/>
      <c r="K18" s="7" t="n">
        <f aca="false">C18</f>
        <v>19.95</v>
      </c>
      <c r="L18" s="402" t="n">
        <f aca="false">D18</f>
        <v>510719999.9202</v>
      </c>
      <c r="M18" s="402" t="n">
        <f aca="false">E18</f>
        <v>536255999.90424</v>
      </c>
      <c r="N18" s="402" t="n">
        <f aca="false">F18</f>
        <v>563068799.90424</v>
      </c>
      <c r="O18" s="403" t="n">
        <f aca="false">G18</f>
        <v>591222239.90424</v>
      </c>
      <c r="P18" s="2"/>
      <c r="Q18" s="20" t="str">
        <f aca="false">I18</f>
        <v>Product 1 Usage</v>
      </c>
      <c r="R18" s="7"/>
      <c r="S18" s="7" t="n">
        <f aca="false">C18</f>
        <v>19.95</v>
      </c>
      <c r="T18" s="402" t="n">
        <f aca="false">D18</f>
        <v>510719999.9202</v>
      </c>
      <c r="U18" s="402" t="n">
        <f aca="false">E18</f>
        <v>536255999.90424</v>
      </c>
      <c r="V18" s="402" t="n">
        <f aca="false">F18</f>
        <v>563068799.90424</v>
      </c>
      <c r="W18" s="403" t="n">
        <f aca="false">G18</f>
        <v>591222239.90424</v>
      </c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customFormat="false" ht="12.75" hidden="false" customHeight="true" outlineLevel="0" collapsed="false">
      <c r="A19" s="20" t="str">
        <f aca="false">A8&amp;" Usage"</f>
        <v>Product 2 Usage</v>
      </c>
      <c r="B19" s="7"/>
      <c r="C19" s="7" t="n">
        <f aca="false">Inputs!D153</f>
        <v>14.95</v>
      </c>
      <c r="D19" s="402" t="n">
        <f aca="false">12*D8*$C19</f>
        <v>47840000.00598</v>
      </c>
      <c r="E19" s="402" t="n">
        <f aca="false">12*E8*$C19</f>
        <v>50232000.007176</v>
      </c>
      <c r="F19" s="402" t="n">
        <f aca="false">12*F8*$C19</f>
        <v>52743600.007176</v>
      </c>
      <c r="G19" s="403" t="n">
        <f aca="false">12*G8*$C19</f>
        <v>55380780.007176</v>
      </c>
      <c r="H19" s="2"/>
      <c r="I19" s="20" t="str">
        <f aca="false">A19</f>
        <v>Product 2 Usage</v>
      </c>
      <c r="J19" s="7"/>
      <c r="K19" s="7" t="n">
        <f aca="false">C19</f>
        <v>14.95</v>
      </c>
      <c r="L19" s="402" t="n">
        <f aca="false">D19</f>
        <v>47840000.00598</v>
      </c>
      <c r="M19" s="402" t="n">
        <f aca="false">E19</f>
        <v>50232000.007176</v>
      </c>
      <c r="N19" s="402" t="n">
        <f aca="false">F19</f>
        <v>52743600.007176</v>
      </c>
      <c r="O19" s="403" t="n">
        <f aca="false">G19</f>
        <v>55380780.007176</v>
      </c>
      <c r="P19" s="2"/>
      <c r="Q19" s="20" t="str">
        <f aca="false">I19</f>
        <v>Product 2 Usage</v>
      </c>
      <c r="R19" s="7"/>
      <c r="S19" s="7" t="n">
        <f aca="false">C19</f>
        <v>14.95</v>
      </c>
      <c r="T19" s="402" t="n">
        <f aca="false">D19</f>
        <v>47840000.00598</v>
      </c>
      <c r="U19" s="402" t="n">
        <f aca="false">E19</f>
        <v>50232000.007176</v>
      </c>
      <c r="V19" s="402" t="n">
        <f aca="false">F19</f>
        <v>52743600.007176</v>
      </c>
      <c r="W19" s="403" t="n">
        <f aca="false">G19</f>
        <v>55380780.007176</v>
      </c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customFormat="false" ht="12.75" hidden="false" customHeight="true" outlineLevel="0" collapsed="false">
      <c r="A20" s="20" t="str">
        <f aca="false">A9&amp;" Usage"</f>
        <v>Product 3 Usage</v>
      </c>
      <c r="B20" s="7"/>
      <c r="C20" s="7" t="n">
        <f aca="false">Inputs!E153</f>
        <v>9.95</v>
      </c>
      <c r="D20" s="402" t="n">
        <f aca="false">12*D9*$C20</f>
        <v>31840000.00398</v>
      </c>
      <c r="E20" s="402" t="n">
        <f aca="false">12*E9*$C20</f>
        <v>33432000.004776</v>
      </c>
      <c r="F20" s="402" t="n">
        <f aca="false">12*F9*$C20</f>
        <v>35103600.004776</v>
      </c>
      <c r="G20" s="403" t="n">
        <f aca="false">12*G9*$C20</f>
        <v>36858780.004776</v>
      </c>
      <c r="H20" s="2"/>
      <c r="I20" s="20" t="str">
        <f aca="false">A20</f>
        <v>Product 3 Usage</v>
      </c>
      <c r="J20" s="7"/>
      <c r="K20" s="7" t="n">
        <f aca="false">C20</f>
        <v>9.95</v>
      </c>
      <c r="L20" s="402" t="n">
        <f aca="false">D20</f>
        <v>31840000.00398</v>
      </c>
      <c r="M20" s="402" t="n">
        <f aca="false">E20</f>
        <v>33432000.004776</v>
      </c>
      <c r="N20" s="402" t="n">
        <f aca="false">F20</f>
        <v>35103600.004776</v>
      </c>
      <c r="O20" s="403" t="n">
        <f aca="false">G20</f>
        <v>36858780.004776</v>
      </c>
      <c r="P20" s="2"/>
      <c r="Q20" s="20" t="str">
        <f aca="false">I20</f>
        <v>Product 3 Usage</v>
      </c>
      <c r="R20" s="101"/>
      <c r="S20" s="7" t="n">
        <f aca="false">C20</f>
        <v>9.95</v>
      </c>
      <c r="T20" s="402" t="n">
        <f aca="false">D20</f>
        <v>31840000.00398</v>
      </c>
      <c r="U20" s="402" t="n">
        <f aca="false">E20</f>
        <v>33432000.004776</v>
      </c>
      <c r="V20" s="402" t="n">
        <f aca="false">F20</f>
        <v>35103600.004776</v>
      </c>
      <c r="W20" s="403" t="n">
        <f aca="false">G20</f>
        <v>36858780.004776</v>
      </c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customFormat="false" ht="12.75" hidden="false" customHeight="true" outlineLevel="0" collapsed="false">
      <c r="A21" s="20" t="str">
        <f aca="false">A10&amp;" Usage"</f>
        <v>Prodcut 4 Usage</v>
      </c>
      <c r="B21" s="7"/>
      <c r="C21" s="7" t="n">
        <f aca="false">Inputs!F153</f>
        <v>44.95</v>
      </c>
      <c r="D21" s="402" t="n">
        <f aca="false">12*D10*$C21</f>
        <v>539400000</v>
      </c>
      <c r="E21" s="402" t="n">
        <f aca="false">12*E10*$C21</f>
        <v>566370000</v>
      </c>
      <c r="F21" s="402" t="n">
        <f aca="false">12*F10*$C21</f>
        <v>594688500</v>
      </c>
      <c r="G21" s="403" t="n">
        <f aca="false">12*G10*$C21</f>
        <v>624422925</v>
      </c>
      <c r="H21" s="2"/>
      <c r="I21" s="20" t="str">
        <f aca="false">A21</f>
        <v>Prodcut 4 Usage</v>
      </c>
      <c r="J21" s="7"/>
      <c r="K21" s="7" t="n">
        <f aca="false">C21</f>
        <v>44.95</v>
      </c>
      <c r="L21" s="402" t="n">
        <f aca="false">D21</f>
        <v>539400000</v>
      </c>
      <c r="M21" s="402" t="n">
        <f aca="false">E21</f>
        <v>566370000</v>
      </c>
      <c r="N21" s="402" t="n">
        <f aca="false">F21</f>
        <v>594688500</v>
      </c>
      <c r="O21" s="403" t="n">
        <f aca="false">G21</f>
        <v>624422925</v>
      </c>
      <c r="P21" s="2"/>
      <c r="Q21" s="20" t="str">
        <f aca="false">I21</f>
        <v>Prodcut 4 Usage</v>
      </c>
      <c r="R21" s="7"/>
      <c r="S21" s="7" t="n">
        <f aca="false">C21</f>
        <v>44.95</v>
      </c>
      <c r="T21" s="402" t="n">
        <f aca="false">D21</f>
        <v>539400000</v>
      </c>
      <c r="U21" s="402" t="n">
        <f aca="false">E21</f>
        <v>566370000</v>
      </c>
      <c r="V21" s="402" t="n">
        <f aca="false">F21</f>
        <v>594688500</v>
      </c>
      <c r="W21" s="403" t="n">
        <f aca="false">G21</f>
        <v>624422925</v>
      </c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customFormat="false" ht="12.75" hidden="false" customHeight="true" outlineLevel="0" collapsed="false">
      <c r="A22" s="20" t="s">
        <v>347</v>
      </c>
      <c r="B22" s="7"/>
      <c r="C22" s="7"/>
      <c r="D22" s="468" t="n">
        <f aca="false">D58*$B22</f>
        <v>0</v>
      </c>
      <c r="E22" s="468" t="n">
        <f aca="false">E58*$B22</f>
        <v>0</v>
      </c>
      <c r="F22" s="468" t="n">
        <f aca="false">F58*$B22</f>
        <v>0</v>
      </c>
      <c r="G22" s="469" t="n">
        <f aca="false">G58*$B22</f>
        <v>0</v>
      </c>
      <c r="H22" s="2"/>
      <c r="I22" s="20" t="str">
        <f aca="false">A22</f>
        <v>Equipment Sales</v>
      </c>
      <c r="J22" s="7" t="n">
        <f aca="false">B22</f>
        <v>0</v>
      </c>
      <c r="K22" s="7"/>
      <c r="L22" s="468" t="n">
        <f aca="false">D22</f>
        <v>0</v>
      </c>
      <c r="M22" s="468" t="n">
        <f aca="false">E22</f>
        <v>0</v>
      </c>
      <c r="N22" s="468" t="n">
        <f aca="false">F22</f>
        <v>0</v>
      </c>
      <c r="O22" s="469" t="n">
        <f aca="false">G22</f>
        <v>0</v>
      </c>
      <c r="P22" s="2"/>
      <c r="Q22" s="20" t="str">
        <f aca="false">I22</f>
        <v>Equipment Sales</v>
      </c>
      <c r="R22" s="7" t="n">
        <f aca="false">B22</f>
        <v>0</v>
      </c>
      <c r="S22" s="7"/>
      <c r="T22" s="468" t="n">
        <f aca="false">D22</f>
        <v>0</v>
      </c>
      <c r="U22" s="468" t="n">
        <f aca="false">E22</f>
        <v>0</v>
      </c>
      <c r="V22" s="468" t="n">
        <f aca="false">F22</f>
        <v>0</v>
      </c>
      <c r="W22" s="469" t="n">
        <f aca="false">G22</f>
        <v>0</v>
      </c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customFormat="false" ht="12.75" hidden="false" customHeight="true" outlineLevel="0" collapsed="false">
      <c r="A23" s="392" t="s">
        <v>173</v>
      </c>
      <c r="B23" s="7"/>
      <c r="C23" s="7"/>
      <c r="D23" s="470" t="n">
        <f aca="false">SUM(D14:D22)</f>
        <v>1256056666.589</v>
      </c>
      <c r="E23" s="470" t="n">
        <f aca="false">SUM(E14:E22)</f>
        <v>1198915666.58208</v>
      </c>
      <c r="F23" s="470" t="n">
        <f aca="false">SUM(F14:F22)</f>
        <v>1258861449.91619</v>
      </c>
      <c r="G23" s="471" t="n">
        <f aca="false">SUM(G14:G22)</f>
        <v>1321804522.41619</v>
      </c>
      <c r="H23" s="2"/>
      <c r="I23" s="392" t="str">
        <f aca="false">A23</f>
        <v>Total Revenue</v>
      </c>
      <c r="J23" s="2"/>
      <c r="K23" s="2"/>
      <c r="L23" s="470" t="n">
        <f aca="false">SUM(L14:L22)</f>
        <v>1256056666.589</v>
      </c>
      <c r="M23" s="470" t="n">
        <f aca="false">SUM(M14:M22)</f>
        <v>1198915666.58208</v>
      </c>
      <c r="N23" s="470" t="n">
        <f aca="false">SUM(N14:N22)</f>
        <v>1258861449.91619</v>
      </c>
      <c r="O23" s="471" t="n">
        <f aca="false">SUM(O14:O22)</f>
        <v>1321804522.41619</v>
      </c>
      <c r="P23" s="2"/>
      <c r="Q23" s="392" t="str">
        <f aca="false">I23</f>
        <v>Total Revenue</v>
      </c>
      <c r="R23" s="2"/>
      <c r="S23" s="2"/>
      <c r="T23" s="470" t="n">
        <f aca="false">SUM(T14:T22)</f>
        <v>1256056666.589</v>
      </c>
      <c r="U23" s="470" t="n">
        <f aca="false">SUM(U14:U22)</f>
        <v>1198915666.58208</v>
      </c>
      <c r="V23" s="470" t="n">
        <f aca="false">SUM(V14:V22)</f>
        <v>1258861449.91619</v>
      </c>
      <c r="W23" s="471" t="n">
        <f aca="false">SUM(W14:W22)</f>
        <v>1321804522.41619</v>
      </c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customFormat="false" ht="12.75" hidden="false" customHeight="true" outlineLevel="0" collapsed="false">
      <c r="A24" s="56"/>
      <c r="B24" s="7"/>
      <c r="C24" s="7"/>
      <c r="D24" s="7"/>
      <c r="E24" s="7"/>
      <c r="F24" s="7"/>
      <c r="G24" s="35"/>
      <c r="H24" s="2"/>
      <c r="I24" s="20"/>
      <c r="J24" s="2"/>
      <c r="K24" s="2"/>
      <c r="L24" s="2"/>
      <c r="M24" s="2"/>
      <c r="N24" s="2"/>
      <c r="O24" s="25"/>
      <c r="P24" s="2"/>
      <c r="Q24" s="138"/>
      <c r="R24" s="2"/>
      <c r="S24" s="2"/>
      <c r="T24" s="62"/>
      <c r="U24" s="62"/>
      <c r="V24" s="62"/>
      <c r="W24" s="25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customFormat="false" ht="12.75" hidden="false" customHeight="true" outlineLevel="0" collapsed="false">
      <c r="A25" s="185" t="s">
        <v>348</v>
      </c>
      <c r="B25" s="412" t="s">
        <v>254</v>
      </c>
      <c r="C25" s="412" t="s">
        <v>255</v>
      </c>
      <c r="D25" s="472"/>
      <c r="E25" s="472"/>
      <c r="F25" s="472"/>
      <c r="G25" s="473"/>
      <c r="H25" s="2"/>
      <c r="I25" s="61" t="str">
        <f aca="false">A25</f>
        <v>Variable Costs</v>
      </c>
      <c r="J25" s="395" t="s">
        <v>254</v>
      </c>
      <c r="K25" s="395" t="s">
        <v>255</v>
      </c>
      <c r="L25" s="27"/>
      <c r="M25" s="27"/>
      <c r="N25" s="27"/>
      <c r="O25" s="28"/>
      <c r="P25" s="2"/>
      <c r="Q25" s="61" t="str">
        <f aca="false">A25</f>
        <v>Variable Costs</v>
      </c>
      <c r="R25" s="91" t="s">
        <v>254</v>
      </c>
      <c r="S25" s="91" t="s">
        <v>255</v>
      </c>
      <c r="T25" s="7"/>
      <c r="U25" s="7"/>
      <c r="V25" s="7"/>
      <c r="W25" s="25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false" ht="12.75" hidden="false" customHeight="true" outlineLevel="0" collapsed="false">
      <c r="A26" s="20" t="str">
        <f aca="false">A14</f>
        <v>Product 1 Customer Activation</v>
      </c>
      <c r="B26" s="3" t="n">
        <f aca="false">SUM(Inputs!C143:C146)</f>
        <v>69.55</v>
      </c>
      <c r="C26" s="2"/>
      <c r="D26" s="402" t="n">
        <f aca="false">(D50+D55)*$B26</f>
        <v>148373333.31015</v>
      </c>
      <c r="E26" s="402" t="n">
        <f aca="false">E60*$B26</f>
        <v>38252500</v>
      </c>
      <c r="F26" s="402" t="n">
        <f aca="false">F60*$B26</f>
        <v>40165125</v>
      </c>
      <c r="G26" s="403" t="n">
        <f aca="false">G60*$B26</f>
        <v>42173381.25</v>
      </c>
      <c r="H26" s="2"/>
      <c r="I26" s="20" t="str">
        <f aca="false">I7&amp;" Monthly Cost"</f>
        <v>Product 1 Monthly Cost</v>
      </c>
      <c r="J26" s="2"/>
      <c r="K26" s="102" t="n">
        <f aca="false">Inputs!C165</f>
        <v>14.6925</v>
      </c>
      <c r="L26" s="402" t="n">
        <f aca="false">12*L7*$K$26</f>
        <v>376127999.94123</v>
      </c>
      <c r="M26" s="402" t="n">
        <f aca="false">12*M7*$K$26</f>
        <v>394934399.929476</v>
      </c>
      <c r="N26" s="402" t="n">
        <f aca="false">12*N7*$K$26</f>
        <v>414681119.929476</v>
      </c>
      <c r="O26" s="403" t="n">
        <f aca="false">12*O7*$K$26</f>
        <v>435415175.929476</v>
      </c>
      <c r="P26" s="2"/>
      <c r="Q26" s="474" t="str">
        <f aca="false">Q7</f>
        <v>Product 1</v>
      </c>
      <c r="R26" s="2"/>
      <c r="S26" s="48"/>
      <c r="T26" s="475"/>
      <c r="U26" s="475"/>
      <c r="V26" s="475"/>
      <c r="W26" s="476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customFormat="false" ht="12.75" hidden="false" customHeight="true" outlineLevel="0" collapsed="false">
      <c r="A27" s="20" t="str">
        <f aca="false">A15</f>
        <v>Product 2 Customer Activation</v>
      </c>
      <c r="B27" s="3" t="n">
        <f aca="false">SUM(Inputs!D143:D146)</f>
        <v>69.55</v>
      </c>
      <c r="C27" s="48"/>
      <c r="D27" s="402" t="n">
        <f aca="false">(D51+D56)*$B27</f>
        <v>18546666.668985</v>
      </c>
      <c r="E27" s="402" t="n">
        <f aca="false">(E51+E56)*$B27</f>
        <v>2782000</v>
      </c>
      <c r="F27" s="402" t="n">
        <f aca="false">(F51+F56)*$B27</f>
        <v>2921100</v>
      </c>
      <c r="G27" s="403" t="n">
        <f aca="false">(G51+G56)*$B27</f>
        <v>3067155</v>
      </c>
      <c r="H27" s="2"/>
      <c r="I27" s="20" t="str">
        <f aca="false">I8&amp;" Monthly Cost"</f>
        <v>Product 2 Monthly Cost</v>
      </c>
      <c r="J27" s="7"/>
      <c r="K27" s="102" t="n">
        <f aca="false">Inputs!D165</f>
        <v>13.9425</v>
      </c>
      <c r="L27" s="402" t="n">
        <f aca="false">12*L8*$K$27</f>
        <v>44616000.005577</v>
      </c>
      <c r="M27" s="402" t="n">
        <f aca="false">12*M8*$K$27</f>
        <v>46846800.0066924</v>
      </c>
      <c r="N27" s="402" t="n">
        <f aca="false">12*N8*$K$27</f>
        <v>49189140.0066924</v>
      </c>
      <c r="O27" s="403" t="n">
        <f aca="false">12*O8*$K$27</f>
        <v>51648597.0066924</v>
      </c>
      <c r="P27" s="2"/>
      <c r="Q27" s="20" t="str">
        <f aca="false">Inputs!B143</f>
        <v>Equipment Cost</v>
      </c>
      <c r="R27" s="3" t="n">
        <f aca="false">Inputs!C143</f>
        <v>42</v>
      </c>
      <c r="S27" s="400"/>
      <c r="T27" s="402" t="n">
        <f aca="false">(D$50+D$55)*$R$27</f>
        <v>89599999.986</v>
      </c>
      <c r="U27" s="402" t="n">
        <f aca="false">(E$50+E$55)*$R$27</f>
        <v>13440000</v>
      </c>
      <c r="V27" s="402" t="n">
        <f aca="false">(F$50+F$55)*$R$27</f>
        <v>14112000</v>
      </c>
      <c r="W27" s="403" t="n">
        <f aca="false">(G$50+G$55)*$R$27</f>
        <v>14817600</v>
      </c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customFormat="false" ht="12.75" hidden="false" customHeight="true" outlineLevel="0" collapsed="false">
      <c r="A28" s="20" t="str">
        <f aca="false">A16</f>
        <v>Product 3 Customer Activation</v>
      </c>
      <c r="B28" s="3" t="n">
        <f aca="false">SUM(Inputs!E143:E146)</f>
        <v>69.55</v>
      </c>
      <c r="C28" s="6"/>
      <c r="D28" s="402" t="n">
        <f aca="false">(D52+D57)*$B28</f>
        <v>18546666.668985</v>
      </c>
      <c r="E28" s="402" t="n">
        <f aca="false">(E52+E57)*$B28</f>
        <v>2782000</v>
      </c>
      <c r="F28" s="402" t="n">
        <f aca="false">(F52+F57)*$B28</f>
        <v>2921100</v>
      </c>
      <c r="G28" s="403" t="n">
        <f aca="false">(G52+G57)*$B28</f>
        <v>3067155</v>
      </c>
      <c r="H28" s="2"/>
      <c r="I28" s="20" t="str">
        <f aca="false">I9&amp;" Monthly Cost"</f>
        <v>Product 3 Monthly Cost</v>
      </c>
      <c r="J28" s="2"/>
      <c r="K28" s="102" t="n">
        <f aca="false">Inputs!E165</f>
        <v>13.1925</v>
      </c>
      <c r="L28" s="402" t="n">
        <f aca="false">12*L9*$K$28</f>
        <v>42216000.005277</v>
      </c>
      <c r="M28" s="402" t="n">
        <f aca="false">12*M9*$K$28</f>
        <v>44326800.0063324</v>
      </c>
      <c r="N28" s="402" t="n">
        <f aca="false">12*N9*$K$28</f>
        <v>46543140.0063324</v>
      </c>
      <c r="O28" s="403" t="n">
        <f aca="false">12*O9*$K$28</f>
        <v>48870297.0063324</v>
      </c>
      <c r="P28" s="2"/>
      <c r="Q28" s="20" t="str">
        <f aca="false">Inputs!B144</f>
        <v>Shipping Cost</v>
      </c>
      <c r="R28" s="3" t="n">
        <f aca="false">Inputs!C144</f>
        <v>3</v>
      </c>
      <c r="S28" s="144"/>
      <c r="T28" s="402" t="n">
        <f aca="false">(D$50+D$55)*$R$28</f>
        <v>6399999.999</v>
      </c>
      <c r="U28" s="402" t="n">
        <f aca="false">(E$50+E$55)*$R$28</f>
        <v>960000</v>
      </c>
      <c r="V28" s="402" t="n">
        <f aca="false">(F$50+F$55)*$R$28</f>
        <v>1008000</v>
      </c>
      <c r="W28" s="403" t="n">
        <f aca="false">(G$50+G$55)*$R$28</f>
        <v>1058400</v>
      </c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customFormat="false" ht="12.75" hidden="false" customHeight="true" outlineLevel="0" collapsed="false">
      <c r="A29" s="20" t="str">
        <f aca="false">A17</f>
        <v>Prodcut 4 Customer Activation</v>
      </c>
      <c r="B29" s="3" t="n">
        <f aca="false">SUM(Inputs!F143:F146)</f>
        <v>70.92</v>
      </c>
      <c r="C29" s="7"/>
      <c r="D29" s="402" t="n">
        <f aca="false">(D53+D58)*$B29</f>
        <v>70920000</v>
      </c>
      <c r="E29" s="402" t="n">
        <f aca="false">(E53+E58)*$B29</f>
        <v>10638000</v>
      </c>
      <c r="F29" s="402" t="n">
        <f aca="false">(F53+F58)*$B29</f>
        <v>11169900</v>
      </c>
      <c r="G29" s="403" t="n">
        <f aca="false">(G53+G58)*$B29</f>
        <v>11728395</v>
      </c>
      <c r="H29" s="2"/>
      <c r="I29" s="20" t="str">
        <f aca="false">I10&amp;" Monthly Cost"</f>
        <v>Prodcut 4 Monthly Cost</v>
      </c>
      <c r="J29" s="2"/>
      <c r="K29" s="102" t="n">
        <f aca="false">Inputs!F165</f>
        <v>29.64666667</v>
      </c>
      <c r="L29" s="468" t="n">
        <f aca="false">12*L10*$K$29</f>
        <v>355760000.04</v>
      </c>
      <c r="M29" s="468" t="n">
        <f aca="false">12*M10*$K$29</f>
        <v>373548000.042</v>
      </c>
      <c r="N29" s="468" t="n">
        <f aca="false">12*N10*$K$29</f>
        <v>392225400.0441</v>
      </c>
      <c r="O29" s="469" t="n">
        <f aca="false">12*O10*$K$29</f>
        <v>411836670.046305</v>
      </c>
      <c r="P29" s="2"/>
      <c r="Q29" s="20" t="str">
        <f aca="false">Inputs!B145</f>
        <v>Activation Commission</v>
      </c>
      <c r="R29" s="3" t="n">
        <f aca="false">Inputs!C145</f>
        <v>20</v>
      </c>
      <c r="S29" s="477"/>
      <c r="T29" s="402" t="n">
        <f aca="false">(D$50+D$55)*$R$29</f>
        <v>42666666.66</v>
      </c>
      <c r="U29" s="402" t="n">
        <f aca="false">(E$50+E$55)*$R$29</f>
        <v>6400000</v>
      </c>
      <c r="V29" s="402" t="n">
        <f aca="false">(F$50+F$55)*$R$29</f>
        <v>6720000</v>
      </c>
      <c r="W29" s="403" t="n">
        <f aca="false">(G$50+G$55)*$R$29</f>
        <v>7056000</v>
      </c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customFormat="false" ht="12.75" hidden="false" customHeight="true" outlineLevel="0" collapsed="false">
      <c r="A30" s="20" t="str">
        <f aca="false">A7&amp;" Residual Commission"</f>
        <v>Product 1 Residual Commission</v>
      </c>
      <c r="B30" s="3"/>
      <c r="C30" s="400" t="n">
        <f aca="false">Inputs!C147</f>
        <v>0.15</v>
      </c>
      <c r="D30" s="402" t="n">
        <f aca="false">$C30*D18</f>
        <v>76607999.98803</v>
      </c>
      <c r="E30" s="402" t="n">
        <f aca="false">$C30*E18</f>
        <v>80438399.985636</v>
      </c>
      <c r="F30" s="402" t="n">
        <f aca="false">$C30*F18</f>
        <v>84460319.985636</v>
      </c>
      <c r="G30" s="403" t="n">
        <f aca="false">$C30*G18</f>
        <v>88683335.985636</v>
      </c>
      <c r="H30" s="2"/>
      <c r="I30" s="392" t="s">
        <v>174</v>
      </c>
      <c r="J30" s="2"/>
      <c r="K30" s="2"/>
      <c r="L30" s="470" t="n">
        <f aca="false">SUM(L26:L29)</f>
        <v>818719999.992084</v>
      </c>
      <c r="M30" s="470" t="n">
        <f aca="false">SUM(M26:M29)</f>
        <v>859655999.984501</v>
      </c>
      <c r="N30" s="470" t="n">
        <f aca="false">SUM(N26:N29)</f>
        <v>902638799.986601</v>
      </c>
      <c r="O30" s="471" t="n">
        <f aca="false">SUM(O26:O29)</f>
        <v>947770739.988806</v>
      </c>
      <c r="P30" s="2"/>
      <c r="Q30" s="20" t="str">
        <f aca="false">Inputs!B146</f>
        <v>Billing, Office, Bad Debt</v>
      </c>
      <c r="R30" s="3" t="n">
        <f aca="false">Inputs!C146</f>
        <v>4.55</v>
      </c>
      <c r="S30" s="477"/>
      <c r="T30" s="402" t="n">
        <f aca="false">(D$50+D$55)*$R$30</f>
        <v>9706666.66515</v>
      </c>
      <c r="U30" s="402" t="n">
        <f aca="false">(E$50+E$55)*$R$30</f>
        <v>1456000</v>
      </c>
      <c r="V30" s="402" t="n">
        <f aca="false">(F$50+F$55)*$R$30</f>
        <v>1528800</v>
      </c>
      <c r="W30" s="403" t="n">
        <f aca="false">(G$50+G$55)*$R$30</f>
        <v>1605240</v>
      </c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customFormat="false" ht="13.5" hidden="false" customHeight="true" outlineLevel="0" collapsed="false">
      <c r="A31" s="20" t="str">
        <f aca="false">A8&amp;" Residual Commission"</f>
        <v>Product 2 Residual Commission</v>
      </c>
      <c r="B31" s="3"/>
      <c r="C31" s="400" t="n">
        <f aca="false">Inputs!D147</f>
        <v>0.15</v>
      </c>
      <c r="D31" s="402" t="n">
        <f aca="false">$C31*D19</f>
        <v>7176000.000897</v>
      </c>
      <c r="E31" s="402" t="n">
        <f aca="false">$C31*E19</f>
        <v>7534800.0010764</v>
      </c>
      <c r="F31" s="402" t="n">
        <f aca="false">$C31*F19</f>
        <v>7911540.0010764</v>
      </c>
      <c r="G31" s="403" t="n">
        <f aca="false">$C31*G19</f>
        <v>8307117.0010764</v>
      </c>
      <c r="H31" s="2"/>
      <c r="I31" s="56"/>
      <c r="J31" s="2"/>
      <c r="K31" s="2"/>
      <c r="L31" s="2"/>
      <c r="M31" s="2"/>
      <c r="N31" s="2"/>
      <c r="O31" s="25"/>
      <c r="P31" s="2"/>
      <c r="Q31" s="20" t="str">
        <f aca="false">Inputs!B147</f>
        <v>Recurring Commission</v>
      </c>
      <c r="R31" s="2"/>
      <c r="S31" s="400" t="n">
        <f aca="false">Inputs!C147</f>
        <v>0.15</v>
      </c>
      <c r="T31" s="402" t="n">
        <f aca="false">$S$31*T18</f>
        <v>76607999.98803</v>
      </c>
      <c r="U31" s="402" t="n">
        <f aca="false">$S$31*U18</f>
        <v>80438399.985636</v>
      </c>
      <c r="V31" s="402" t="n">
        <f aca="false">$S$31*V18</f>
        <v>84460319.985636</v>
      </c>
      <c r="W31" s="403" t="n">
        <f aca="false">$S$31*W18</f>
        <v>88683335.985636</v>
      </c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customFormat="false" ht="13.5" hidden="false" customHeight="true" outlineLevel="0" collapsed="false">
      <c r="A32" s="20" t="str">
        <f aca="false">A9&amp;" Residual Commission"</f>
        <v>Product 3 Residual Commission</v>
      </c>
      <c r="B32" s="3"/>
      <c r="C32" s="400" t="n">
        <f aca="false">Inputs!E147</f>
        <v>0.15</v>
      </c>
      <c r="D32" s="402" t="n">
        <f aca="false">$C32*D20</f>
        <v>4776000.000597</v>
      </c>
      <c r="E32" s="402" t="n">
        <f aca="false">$C32*E20</f>
        <v>5014800.0007164</v>
      </c>
      <c r="F32" s="402" t="n">
        <f aca="false">$C32*F20</f>
        <v>5265540.0007164</v>
      </c>
      <c r="G32" s="403" t="n">
        <f aca="false">$C32*G20</f>
        <v>5528817.0007164</v>
      </c>
      <c r="H32" s="2"/>
      <c r="I32" s="185" t="str">
        <f aca="false">A40</f>
        <v>Total EBITDA</v>
      </c>
      <c r="J32" s="2"/>
      <c r="K32" s="2"/>
      <c r="L32" s="309" t="n">
        <f aca="false">L23-L30</f>
        <v>437336666.596912</v>
      </c>
      <c r="M32" s="309" t="n">
        <f aca="false">M23-M30</f>
        <v>339259666.597575</v>
      </c>
      <c r="N32" s="309" t="n">
        <f aca="false">N23-N30</f>
        <v>356222649.929591</v>
      </c>
      <c r="O32" s="478" t="n">
        <f aca="false">O23-O30</f>
        <v>374033782.427386</v>
      </c>
      <c r="P32" s="2"/>
      <c r="Q32" s="20" t="str">
        <f aca="false">Inputs!B148</f>
        <v>Wholesale Provider Cost</v>
      </c>
      <c r="R32" s="2"/>
      <c r="S32" s="3" t="n">
        <f aca="false">Inputs!C148</f>
        <v>5.55</v>
      </c>
      <c r="T32" s="402" t="n">
        <f aca="false">$S$32*T7*12</f>
        <v>142079999.9778</v>
      </c>
      <c r="U32" s="402" t="n">
        <f aca="false">$S$32*U7*12</f>
        <v>149183999.97336</v>
      </c>
      <c r="V32" s="402" t="n">
        <f aca="false">$S$32*V7*12</f>
        <v>156643199.97336</v>
      </c>
      <c r="W32" s="403" t="n">
        <f aca="false">$S$32*W7*12</f>
        <v>164475359.97336</v>
      </c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customFormat="false" ht="12.75" hidden="false" customHeight="true" outlineLevel="0" collapsed="false">
      <c r="A33" s="20" t="str">
        <f aca="false">A10&amp;" Residual Commission"</f>
        <v>Prodcut 4 Residual Commission</v>
      </c>
      <c r="B33" s="3"/>
      <c r="C33" s="400" t="n">
        <f aca="false">Inputs!F147</f>
        <v>0.15</v>
      </c>
      <c r="D33" s="402" t="n">
        <f aca="false">$C33*D21</f>
        <v>80910000</v>
      </c>
      <c r="E33" s="402" t="n">
        <f aca="false">$C33*E21</f>
        <v>84955500</v>
      </c>
      <c r="F33" s="402" t="n">
        <f aca="false">$C33*F21</f>
        <v>89203275</v>
      </c>
      <c r="G33" s="403" t="n">
        <f aca="false">$C33*G21</f>
        <v>93663438.75</v>
      </c>
      <c r="H33" s="2"/>
      <c r="I33" s="56"/>
      <c r="J33" s="2"/>
      <c r="K33" s="2"/>
      <c r="L33" s="2"/>
      <c r="M33" s="2"/>
      <c r="N33" s="2"/>
      <c r="O33" s="25"/>
      <c r="P33" s="2"/>
      <c r="Q33" s="20" t="str">
        <f aca="false">Inputs!B149</f>
        <v>Marketing Expense</v>
      </c>
      <c r="R33" s="3"/>
      <c r="S33" s="3" t="n">
        <f aca="false">Inputs!C149</f>
        <v>3</v>
      </c>
      <c r="T33" s="402" t="n">
        <f aca="false">$S$33*T7</f>
        <v>6399999.999</v>
      </c>
      <c r="U33" s="402" t="n">
        <f aca="false">$S$33*U7</f>
        <v>6719999.9988</v>
      </c>
      <c r="V33" s="402" t="n">
        <f aca="false">$S$33*V7</f>
        <v>7055999.9988</v>
      </c>
      <c r="W33" s="403" t="n">
        <f aca="false">$S$33*W7</f>
        <v>7408799.9988</v>
      </c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customFormat="false" ht="12.75" hidden="false" customHeight="true" outlineLevel="0" collapsed="false">
      <c r="A34" s="20" t="str">
        <f aca="false">A7&amp;" Operating Cost"</f>
        <v>Product 1 Operating Cost</v>
      </c>
      <c r="B34" s="3"/>
      <c r="C34" s="3" t="n">
        <f aca="false">Inputs!C163</f>
        <v>8.896666667</v>
      </c>
      <c r="D34" s="402" t="n">
        <f aca="false">D7*$C$34*12</f>
        <v>227754666.639613</v>
      </c>
      <c r="E34" s="402" t="n">
        <f aca="false">E7*$C$34*12</f>
        <v>239142399.966256</v>
      </c>
      <c r="F34" s="402" t="n">
        <f aca="false">F7*$C$34*12</f>
        <v>251099519.966704</v>
      </c>
      <c r="G34" s="403" t="n">
        <f aca="false">G7*$C$34*12</f>
        <v>263654495.967174</v>
      </c>
      <c r="H34" s="2"/>
      <c r="I34" s="56"/>
      <c r="J34" s="2"/>
      <c r="K34" s="2"/>
      <c r="L34" s="93" t="str">
        <f aca="false">D42</f>
        <v>Monthly Figures</v>
      </c>
      <c r="M34" s="93"/>
      <c r="N34" s="93"/>
      <c r="O34" s="93"/>
      <c r="P34" s="2"/>
      <c r="Q34" s="20" t="str">
        <f aca="false">Inputs!B150</f>
        <v>Sales and General Administrative</v>
      </c>
      <c r="R34" s="3"/>
      <c r="S34" s="3" t="n">
        <f aca="false">Inputs!C150</f>
        <v>1</v>
      </c>
      <c r="T34" s="402" t="n">
        <f aca="false">$S$34*T7</f>
        <v>2133333.333</v>
      </c>
      <c r="U34" s="402" t="n">
        <f aca="false">$S$34*U7</f>
        <v>2239999.9996</v>
      </c>
      <c r="V34" s="402" t="n">
        <f aca="false">$S$34*V7</f>
        <v>2351999.9996</v>
      </c>
      <c r="W34" s="403" t="n">
        <f aca="false">$S$34*W7</f>
        <v>2469599.9996</v>
      </c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customFormat="false" ht="12.75" hidden="false" customHeight="true" outlineLevel="0" collapsed="false">
      <c r="A35" s="20" t="str">
        <f aca="false">A8&amp;" Operating Cost"</f>
        <v>Product 2 Operating Cost</v>
      </c>
      <c r="B35" s="3"/>
      <c r="C35" s="3" t="n">
        <f aca="false">Inputs!D163</f>
        <v>8.146666667</v>
      </c>
      <c r="D35" s="402" t="n">
        <f aca="false">D8*$C$34*12</f>
        <v>28469333.3379587</v>
      </c>
      <c r="E35" s="402" t="n">
        <f aca="false">E8*$C$34*12</f>
        <v>29892800.0053904</v>
      </c>
      <c r="F35" s="402" t="n">
        <f aca="false">F8*$C$34*12</f>
        <v>31387440.0054464</v>
      </c>
      <c r="G35" s="403" t="n">
        <f aca="false">G8*$C$34*12</f>
        <v>32956812.0055052</v>
      </c>
      <c r="H35" s="2"/>
      <c r="I35" s="56"/>
      <c r="J35" s="2"/>
      <c r="K35" s="2"/>
      <c r="L35" s="101" t="str">
        <f aca="false">D43</f>
        <v>ARPU</v>
      </c>
      <c r="M35" s="101" t="str">
        <f aca="false">E43</f>
        <v>AVG COST</v>
      </c>
      <c r="N35" s="101" t="str">
        <f aca="false">F43</f>
        <v>Gross margin</v>
      </c>
      <c r="O35" s="103" t="str">
        <f aca="false">G43</f>
        <v>Margin</v>
      </c>
      <c r="P35" s="2"/>
      <c r="Q35" s="20" t="str">
        <f aca="false">Inputs!B151</f>
        <v>Occupancy</v>
      </c>
      <c r="R35" s="3"/>
      <c r="S35" s="3" t="n">
        <f aca="false">Inputs!C151</f>
        <v>0.25</v>
      </c>
      <c r="T35" s="402" t="n">
        <f aca="false">$S$35*T7</f>
        <v>533333.33325</v>
      </c>
      <c r="U35" s="402" t="n">
        <f aca="false">$S$35*U7</f>
        <v>559999.9999</v>
      </c>
      <c r="V35" s="402" t="n">
        <f aca="false">$S$35*V7</f>
        <v>587999.9999</v>
      </c>
      <c r="W35" s="403" t="n">
        <f aca="false">$S$35*W7</f>
        <v>617399.9999</v>
      </c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customFormat="false" ht="12.75" hidden="false" customHeight="true" outlineLevel="0" collapsed="false">
      <c r="A36" s="20" t="str">
        <f aca="false">A9&amp;" Operating Cost"</f>
        <v>Product 3 Operating Cost</v>
      </c>
      <c r="B36" s="3"/>
      <c r="C36" s="3" t="n">
        <f aca="false">Inputs!E163</f>
        <v>7.396666667</v>
      </c>
      <c r="D36" s="402" t="n">
        <f aca="false">D9*$C$34*12</f>
        <v>28469333.3379587</v>
      </c>
      <c r="E36" s="402" t="n">
        <f aca="false">E9*$C$34*12</f>
        <v>29892800.0053904</v>
      </c>
      <c r="F36" s="402" t="n">
        <f aca="false">F9*$C$34*12</f>
        <v>31387440.0054464</v>
      </c>
      <c r="G36" s="403" t="n">
        <f aca="false">G9*$C$34*12</f>
        <v>32956812.0055052</v>
      </c>
      <c r="H36" s="2"/>
      <c r="I36" s="56"/>
      <c r="J36" s="2"/>
      <c r="K36" s="2"/>
      <c r="L36" s="101" t="n">
        <f aca="false">D44</f>
        <v>26.55290107</v>
      </c>
      <c r="M36" s="101" t="n">
        <f aca="false">(SUM(L30:O30)/4/12)/(SUM(L11:O11)/4)</f>
        <v>18.60727233</v>
      </c>
      <c r="N36" s="101" t="n">
        <f aca="false">L36-M36</f>
        <v>7.945628734</v>
      </c>
      <c r="O36" s="193" t="n">
        <f aca="false">N36/L36</f>
        <v>0.2992376883</v>
      </c>
      <c r="P36" s="2"/>
      <c r="Q36" s="474" t="str">
        <f aca="false">Q8</f>
        <v>Product 2</v>
      </c>
      <c r="R36" s="3"/>
      <c r="S36" s="3"/>
      <c r="T36" s="402"/>
      <c r="U36" s="402"/>
      <c r="V36" s="402"/>
      <c r="W36" s="403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customFormat="false" ht="12.75" hidden="false" customHeight="true" outlineLevel="0" collapsed="false">
      <c r="A37" s="20" t="str">
        <f aca="false">A10&amp;" Operating Cost"</f>
        <v>Prodcut 4 Operating Cost</v>
      </c>
      <c r="B37" s="3"/>
      <c r="C37" s="7" t="n">
        <f aca="false">Inputs!F163</f>
        <v>23.73666667</v>
      </c>
      <c r="D37" s="468" t="n">
        <f aca="false">D10*$C$34*12</f>
        <v>106760000.004</v>
      </c>
      <c r="E37" s="468" t="n">
        <f aca="false">E10*$C$34*12</f>
        <v>112098000.0042</v>
      </c>
      <c r="F37" s="468" t="n">
        <f aca="false">F10*$C$34*12</f>
        <v>117702900.00441</v>
      </c>
      <c r="G37" s="469" t="n">
        <f aca="false">G10*$C$34*12</f>
        <v>123588045.004631</v>
      </c>
      <c r="H37" s="2"/>
      <c r="I37" s="56"/>
      <c r="J37" s="2"/>
      <c r="K37" s="2"/>
      <c r="L37" s="2"/>
      <c r="M37" s="2"/>
      <c r="N37" s="2"/>
      <c r="O37" s="25"/>
      <c r="P37" s="2"/>
      <c r="Q37" s="20" t="str">
        <f aca="false">Q27</f>
        <v>Equipment Cost</v>
      </c>
      <c r="R37" s="3" t="n">
        <f aca="false">Inputs!D143</f>
        <v>42</v>
      </c>
      <c r="S37" s="3"/>
      <c r="T37" s="402" t="n">
        <f aca="false">(D$51+D$56)*$R37</f>
        <v>11200000.0014</v>
      </c>
      <c r="U37" s="402" t="n">
        <f aca="false">(E$51+E$56)*$R37</f>
        <v>1680000</v>
      </c>
      <c r="V37" s="402" t="n">
        <f aca="false">(F$51+F$56)*$R37</f>
        <v>1764000</v>
      </c>
      <c r="W37" s="403" t="n">
        <f aca="false">(G$51+G$56)*$R37</f>
        <v>1852200</v>
      </c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customFormat="false" ht="12.75" hidden="false" customHeight="true" outlineLevel="0" collapsed="false">
      <c r="A38" s="392" t="s">
        <v>174</v>
      </c>
      <c r="B38" s="7"/>
      <c r="C38" s="7"/>
      <c r="D38" s="470" t="n">
        <f aca="false">SUM(D26:D37)</f>
        <v>817309999.957175</v>
      </c>
      <c r="E38" s="470" t="n">
        <f aca="false">SUM(E26:E37)</f>
        <v>643423999.968666</v>
      </c>
      <c r="F38" s="470" t="n">
        <f aca="false">SUM(F26:F37)</f>
        <v>675595199.969436</v>
      </c>
      <c r="G38" s="471" t="n">
        <f aca="false">SUM(G26:G37)</f>
        <v>709374959.970244</v>
      </c>
      <c r="H38" s="2"/>
      <c r="I38" s="235" t="str">
        <f aca="false">A46</f>
        <v>*Subscriber number assumes a monthly customer churn rate of 5%</v>
      </c>
      <c r="J38" s="2"/>
      <c r="K38" s="2"/>
      <c r="L38" s="2"/>
      <c r="M38" s="2"/>
      <c r="N38" s="2"/>
      <c r="O38" s="25"/>
      <c r="P38" s="2"/>
      <c r="Q38" s="20" t="str">
        <f aca="false">Q28</f>
        <v>Shipping Cost</v>
      </c>
      <c r="R38" s="3" t="n">
        <f aca="false">Inputs!D144</f>
        <v>3</v>
      </c>
      <c r="S38" s="3"/>
      <c r="T38" s="402" t="n">
        <f aca="false">(D$51+D$56)*$R38</f>
        <v>800000.0001</v>
      </c>
      <c r="U38" s="402" t="n">
        <f aca="false">(E$51+E$56)*$R38</f>
        <v>120000</v>
      </c>
      <c r="V38" s="402" t="n">
        <f aca="false">(F$51+F$56)*$R38</f>
        <v>126000</v>
      </c>
      <c r="W38" s="403" t="n">
        <f aca="false">(G$51+G$56)*$R38</f>
        <v>132300</v>
      </c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customFormat="false" ht="13.5" hidden="false" customHeight="true" outlineLevel="0" collapsed="false">
      <c r="A39" s="56"/>
      <c r="B39" s="7"/>
      <c r="C39" s="7"/>
      <c r="D39" s="402"/>
      <c r="E39" s="402"/>
      <c r="F39" s="402"/>
      <c r="G39" s="403"/>
      <c r="H39" s="2"/>
      <c r="I39" s="424"/>
      <c r="J39" s="424"/>
      <c r="K39" s="424"/>
      <c r="L39" s="424"/>
      <c r="M39" s="424"/>
      <c r="N39" s="424"/>
      <c r="O39" s="424"/>
      <c r="P39" s="2"/>
      <c r="Q39" s="20" t="str">
        <f aca="false">Q29</f>
        <v>Activation Commission</v>
      </c>
      <c r="R39" s="3" t="n">
        <f aca="false">Inputs!D145</f>
        <v>20</v>
      </c>
      <c r="S39" s="477"/>
      <c r="T39" s="402" t="n">
        <f aca="false">(D$51+D$56)*$R39</f>
        <v>5333333.334</v>
      </c>
      <c r="U39" s="402" t="n">
        <f aca="false">(E$51+E$56)*$R39</f>
        <v>800000</v>
      </c>
      <c r="V39" s="402" t="n">
        <f aca="false">(F$51+F$56)*$R39</f>
        <v>840000</v>
      </c>
      <c r="W39" s="403" t="n">
        <f aca="false">(G$51+G$56)*$R39</f>
        <v>882000</v>
      </c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customFormat="false" ht="13.5" hidden="false" customHeight="true" outlineLevel="0" collapsed="false">
      <c r="A40" s="479" t="s">
        <v>291</v>
      </c>
      <c r="B40" s="81"/>
      <c r="C40" s="81"/>
      <c r="D40" s="314" t="n">
        <f aca="false">D23-D38</f>
        <v>438746666.631822</v>
      </c>
      <c r="E40" s="480" t="n">
        <f aca="false">E23-E38</f>
        <v>555491666.61341</v>
      </c>
      <c r="F40" s="480" t="n">
        <f aca="false">F23-F38</f>
        <v>583266249.946757</v>
      </c>
      <c r="G40" s="315" t="n">
        <f aca="false">G23-G38</f>
        <v>612429562.445948</v>
      </c>
      <c r="H40" s="2"/>
      <c r="I40" s="424"/>
      <c r="J40" s="424"/>
      <c r="K40" s="424"/>
      <c r="L40" s="424"/>
      <c r="M40" s="424"/>
      <c r="N40" s="424"/>
      <c r="O40" s="424"/>
      <c r="P40" s="2"/>
      <c r="Q40" s="20" t="str">
        <f aca="false">Q30</f>
        <v>Billing, Office, Bad Debt</v>
      </c>
      <c r="R40" s="3" t="n">
        <f aca="false">Inputs!D146</f>
        <v>4.55</v>
      </c>
      <c r="S40" s="477"/>
      <c r="T40" s="402" t="n">
        <f aca="false">(D$51+D$56)*$R40</f>
        <v>1213333.333485</v>
      </c>
      <c r="U40" s="402" t="n">
        <f aca="false">(E$51+E$56)*$R40</f>
        <v>182000</v>
      </c>
      <c r="V40" s="402" t="n">
        <f aca="false">(F$51+F$56)*$R40</f>
        <v>191100</v>
      </c>
      <c r="W40" s="403" t="n">
        <f aca="false">(G$51+G$56)*$R40</f>
        <v>200655</v>
      </c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customFormat="false" ht="13.5" hidden="false" customHeight="true" outlineLevel="0" collapsed="false">
      <c r="A41" s="56"/>
      <c r="B41" s="2"/>
      <c r="C41" s="2"/>
      <c r="D41" s="2"/>
      <c r="E41" s="2"/>
      <c r="F41" s="2"/>
      <c r="G41" s="25"/>
      <c r="H41" s="2"/>
      <c r="I41" s="2"/>
      <c r="J41" s="2"/>
      <c r="K41" s="2"/>
      <c r="L41" s="2"/>
      <c r="M41" s="2"/>
      <c r="N41" s="2"/>
      <c r="O41" s="2"/>
      <c r="P41" s="2"/>
      <c r="Q41" s="20" t="str">
        <f aca="false">Q31</f>
        <v>Recurring Commission</v>
      </c>
      <c r="R41" s="2"/>
      <c r="S41" s="400" t="n">
        <f aca="false">Inputs!D147</f>
        <v>0.15</v>
      </c>
      <c r="T41" s="402" t="n">
        <f aca="false">$S$41*T19</f>
        <v>7176000.000897</v>
      </c>
      <c r="U41" s="402" t="n">
        <f aca="false">$S$41*U19</f>
        <v>7534800.0010764</v>
      </c>
      <c r="V41" s="402" t="n">
        <f aca="false">$S$41*V19</f>
        <v>7911540.0010764</v>
      </c>
      <c r="W41" s="403" t="n">
        <f aca="false">$S$41*W19</f>
        <v>8307117.0010764</v>
      </c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customFormat="false" ht="12.75" hidden="false" customHeight="true" outlineLevel="0" collapsed="false">
      <c r="A42" s="56"/>
      <c r="B42" s="2"/>
      <c r="C42" s="2"/>
      <c r="D42" s="93" t="s">
        <v>292</v>
      </c>
      <c r="E42" s="93"/>
      <c r="F42" s="93"/>
      <c r="G42" s="93"/>
      <c r="H42" s="2"/>
      <c r="I42" s="425" t="n">
        <f aca="false">SUM(D23:G23)</f>
        <v>5035638306</v>
      </c>
      <c r="J42" s="426" t="s">
        <v>294</v>
      </c>
      <c r="K42" s="427"/>
      <c r="L42" s="2"/>
      <c r="M42" s="428" t="s">
        <v>295</v>
      </c>
      <c r="N42" s="429" t="n">
        <f aca="false">G44</f>
        <v>0.4348871013</v>
      </c>
      <c r="O42" s="2"/>
      <c r="P42" s="2"/>
      <c r="Q42" s="20" t="str">
        <f aca="false">Q32</f>
        <v>Wholesale Provider Cost</v>
      </c>
      <c r="R42" s="2"/>
      <c r="S42" s="3" t="n">
        <f aca="false">Inputs!D148</f>
        <v>5.55</v>
      </c>
      <c r="T42" s="402" t="n">
        <f aca="false">12*T8*$S$42</f>
        <v>17760000.00222</v>
      </c>
      <c r="U42" s="402" t="n">
        <f aca="false">12*U8*$S$42</f>
        <v>18648000.002664</v>
      </c>
      <c r="V42" s="402" t="n">
        <f aca="false">12*V8*$S$42</f>
        <v>19580400.002664</v>
      </c>
      <c r="W42" s="403" t="n">
        <f aca="false">12*W8*$S$42</f>
        <v>20559420.002664</v>
      </c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customFormat="false" ht="12.75" hidden="false" customHeight="true" outlineLevel="0" collapsed="false">
      <c r="A43" s="56"/>
      <c r="B43" s="2"/>
      <c r="C43" s="2"/>
      <c r="D43" s="101" t="s">
        <v>284</v>
      </c>
      <c r="E43" s="4" t="s">
        <v>285</v>
      </c>
      <c r="F43" s="4" t="s">
        <v>286</v>
      </c>
      <c r="G43" s="93" t="s">
        <v>178</v>
      </c>
      <c r="H43" s="2"/>
      <c r="I43" s="430" t="n">
        <f aca="false">SUM(L23:O23)</f>
        <v>5035638306</v>
      </c>
      <c r="J43" s="431" t="s">
        <v>296</v>
      </c>
      <c r="K43" s="432"/>
      <c r="L43" s="2"/>
      <c r="M43" s="433" t="s">
        <v>297</v>
      </c>
      <c r="N43" s="434" t="n">
        <f aca="false">O36</f>
        <v>0.2992376883</v>
      </c>
      <c r="O43" s="2"/>
      <c r="P43" s="2"/>
      <c r="Q43" s="20" t="str">
        <f aca="false">Q33</f>
        <v>Marketing Expense</v>
      </c>
      <c r="R43" s="2"/>
      <c r="S43" s="3" t="n">
        <f aca="false">Inputs!D149</f>
        <v>3</v>
      </c>
      <c r="T43" s="402" t="n">
        <f aca="false">T9*$S$43</f>
        <v>800000.0001</v>
      </c>
      <c r="U43" s="402" t="n">
        <f aca="false">U9*$S$43</f>
        <v>840000.00012</v>
      </c>
      <c r="V43" s="402" t="n">
        <f aca="false">V9*$S$43</f>
        <v>882000.00012</v>
      </c>
      <c r="W43" s="403" t="n">
        <f aca="false">W9*$S$43</f>
        <v>926100.00012</v>
      </c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customFormat="false" ht="13.5" hidden="false" customHeight="true" outlineLevel="0" collapsed="false">
      <c r="A44" s="56"/>
      <c r="B44" s="2"/>
      <c r="C44" s="2"/>
      <c r="D44" s="101" t="n">
        <f aca="false">(SUM(D23:G23)/12/4)/(SUM(D11:G11)/4)</f>
        <v>26.55290107</v>
      </c>
      <c r="E44" s="101" t="n">
        <f aca="false">(SUM(D38:G38)/12/4)/(SUM(D11:G11)/4)</f>
        <v>15.00538689</v>
      </c>
      <c r="F44" s="101" t="n">
        <f aca="false">D44-E44</f>
        <v>11.54751418</v>
      </c>
      <c r="G44" s="193" t="n">
        <f aca="false">F44/D44</f>
        <v>0.4348871013</v>
      </c>
      <c r="H44" s="2"/>
      <c r="I44" s="435" t="n">
        <f aca="false">SUM(T23:W23)</f>
        <v>5035638306</v>
      </c>
      <c r="J44" s="436" t="s">
        <v>298</v>
      </c>
      <c r="K44" s="437"/>
      <c r="L44" s="2"/>
      <c r="M44" s="433" t="s">
        <v>299</v>
      </c>
      <c r="N44" s="434" t="n">
        <f aca="false">W72</f>
        <v>0.4046045884</v>
      </c>
      <c r="O44" s="2"/>
      <c r="P44" s="2"/>
      <c r="Q44" s="20" t="str">
        <f aca="false">Q34</f>
        <v>Sales and General Administrative</v>
      </c>
      <c r="R44" s="2"/>
      <c r="S44" s="3" t="n">
        <f aca="false">Inputs!D150</f>
        <v>1</v>
      </c>
      <c r="T44" s="402" t="n">
        <f aca="false">$S$44*T8</f>
        <v>266666.6667</v>
      </c>
      <c r="U44" s="402" t="n">
        <f aca="false">$S$44*U8</f>
        <v>280000.00004</v>
      </c>
      <c r="V44" s="402" t="n">
        <f aca="false">$S$44*V8</f>
        <v>294000.00004</v>
      </c>
      <c r="W44" s="403" t="n">
        <f aca="false">$S$44*W8</f>
        <v>308700.00004</v>
      </c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customFormat="false" ht="13.5" hidden="false" customHeight="true" outlineLevel="0" collapsed="false">
      <c r="A45" s="56"/>
      <c r="B45" s="2"/>
      <c r="C45" s="2"/>
      <c r="D45" s="2"/>
      <c r="E45" s="2"/>
      <c r="F45" s="2"/>
      <c r="G45" s="25"/>
      <c r="H45" s="2"/>
      <c r="I45" s="438" t="n">
        <f aca="false">MAX(I42:I44)-MIN(I42:I44)</f>
        <v>0</v>
      </c>
      <c r="J45" s="439" t="s">
        <v>302</v>
      </c>
      <c r="K45" s="440"/>
      <c r="L45" s="2"/>
      <c r="M45" s="441" t="s">
        <v>303</v>
      </c>
      <c r="N45" s="442" t="n">
        <f aca="false">MAX(N42:N44)-MIN(N42:N44)</f>
        <v>0.1356494129</v>
      </c>
      <c r="O45" s="2"/>
      <c r="P45" s="2"/>
      <c r="Q45" s="20" t="str">
        <f aca="false">Q35</f>
        <v>Occupancy</v>
      </c>
      <c r="R45" s="2"/>
      <c r="S45" s="3" t="n">
        <f aca="false">Inputs!D151</f>
        <v>0.25</v>
      </c>
      <c r="T45" s="402" t="n">
        <f aca="false">$S$45*T8</f>
        <v>66666.666675</v>
      </c>
      <c r="U45" s="402" t="n">
        <f aca="false">$S$45*U8</f>
        <v>70000.00001</v>
      </c>
      <c r="V45" s="402" t="n">
        <f aca="false">$S$45*V8</f>
        <v>73500.00001</v>
      </c>
      <c r="W45" s="403" t="n">
        <f aca="false">$S$45*W8</f>
        <v>77175.00001</v>
      </c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customFormat="false" ht="13.5" hidden="false" customHeight="true" outlineLevel="0" collapsed="false">
      <c r="A46" s="56" t="str">
        <f aca="false">"*Subscriber number assumes a monthly customer churn rate of "&amp;100*Inputs!C154&amp;"%"</f>
        <v>*Subscriber number assumes a monthly customer churn rate of 5%</v>
      </c>
      <c r="B46" s="2"/>
      <c r="C46" s="2"/>
      <c r="D46" s="2"/>
      <c r="E46" s="7"/>
      <c r="F46" s="2"/>
      <c r="G46" s="25"/>
      <c r="H46" s="2"/>
      <c r="I46" s="443" t="n">
        <f aca="false">AVERAGE(I42:I44)</f>
        <v>5035638306</v>
      </c>
      <c r="J46" s="439" t="s">
        <v>304</v>
      </c>
      <c r="K46" s="440"/>
      <c r="L46" s="2"/>
      <c r="M46" s="441" t="s">
        <v>305</v>
      </c>
      <c r="N46" s="442" t="n">
        <f aca="false">AVERAGE(N42:N44)</f>
        <v>0.3795764593</v>
      </c>
      <c r="O46" s="2"/>
      <c r="P46" s="2"/>
      <c r="Q46" s="474" t="str">
        <f aca="false">Q9</f>
        <v>Product 3</v>
      </c>
      <c r="R46" s="3"/>
      <c r="S46" s="33"/>
      <c r="T46" s="402"/>
      <c r="U46" s="402"/>
      <c r="V46" s="402"/>
      <c r="W46" s="403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customFormat="false" ht="12.75" hidden="false" customHeight="true" outlineLevel="0" collapsed="false">
      <c r="A47" s="424"/>
      <c r="B47" s="424"/>
      <c r="C47" s="424"/>
      <c r="D47" s="424"/>
      <c r="E47" s="424"/>
      <c r="F47" s="424"/>
      <c r="G47" s="424"/>
      <c r="H47" s="2"/>
      <c r="I47" s="445" t="n">
        <f aca="false">MAX(I42:I44)/I46-1</f>
        <v>0</v>
      </c>
      <c r="J47" s="426" t="s">
        <v>307</v>
      </c>
      <c r="K47" s="427"/>
      <c r="L47" s="2"/>
      <c r="M47" s="433" t="s">
        <v>307</v>
      </c>
      <c r="N47" s="446" t="n">
        <f aca="false">MAX(N42:N44)/N46-1</f>
        <v>0.145716734</v>
      </c>
      <c r="O47" s="2"/>
      <c r="P47" s="2"/>
      <c r="Q47" s="20" t="str">
        <f aca="false">Q27</f>
        <v>Equipment Cost</v>
      </c>
      <c r="R47" s="3" t="n">
        <f aca="false">Inputs!E143</f>
        <v>42</v>
      </c>
      <c r="S47" s="3"/>
      <c r="T47" s="402" t="n">
        <f aca="false">(D$52+D$57)*$R47</f>
        <v>11200000.0014</v>
      </c>
      <c r="U47" s="402" t="n">
        <f aca="false">(E$52+E$57)*$R47</f>
        <v>1680000</v>
      </c>
      <c r="V47" s="402" t="n">
        <f aca="false">(F$52+F$57)*$R47</f>
        <v>1764000</v>
      </c>
      <c r="W47" s="403" t="n">
        <f aca="false">(G$52+G$57)*$R47</f>
        <v>1852200</v>
      </c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customFormat="false" ht="13.5" hidden="false" customHeight="true" outlineLevel="0" collapsed="false">
      <c r="A48" s="424"/>
      <c r="B48" s="424"/>
      <c r="C48" s="424"/>
      <c r="D48" s="424"/>
      <c r="E48" s="424"/>
      <c r="F48" s="424"/>
      <c r="G48" s="424"/>
      <c r="H48" s="2"/>
      <c r="I48" s="449" t="n">
        <f aca="false">MIN(I42:I44)/I46-1</f>
        <v>0</v>
      </c>
      <c r="J48" s="436" t="s">
        <v>309</v>
      </c>
      <c r="K48" s="437"/>
      <c r="L48" s="2"/>
      <c r="M48" s="433" t="s">
        <v>309</v>
      </c>
      <c r="N48" s="446" t="n">
        <f aca="false">MIN(N42:N44)/N46-1</f>
        <v>-0.2116537236</v>
      </c>
      <c r="O48" s="2"/>
      <c r="P48" s="2"/>
      <c r="Q48" s="20" t="str">
        <f aca="false">Q28</f>
        <v>Shipping Cost</v>
      </c>
      <c r="R48" s="3" t="n">
        <f aca="false">Inputs!E144</f>
        <v>3</v>
      </c>
      <c r="S48" s="3"/>
      <c r="T48" s="402" t="n">
        <f aca="false">(D$52+D$57)*$R48</f>
        <v>800000.0001</v>
      </c>
      <c r="U48" s="402" t="n">
        <f aca="false">(E$52+E$57)*$R48</f>
        <v>120000</v>
      </c>
      <c r="V48" s="402" t="n">
        <f aca="false">(F$52+F$57)*$R48</f>
        <v>126000</v>
      </c>
      <c r="W48" s="403" t="n">
        <f aca="false">(G$52+G$57)*$R48</f>
        <v>132300</v>
      </c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453" t="n">
        <f aca="false">I45/I46</f>
        <v>0</v>
      </c>
      <c r="J49" s="439" t="s">
        <v>311</v>
      </c>
      <c r="K49" s="440"/>
      <c r="L49" s="2"/>
      <c r="M49" s="441" t="s">
        <v>311</v>
      </c>
      <c r="N49" s="454" t="n">
        <f aca="false">N45/N46</f>
        <v>0.3573704576</v>
      </c>
      <c r="O49" s="2"/>
      <c r="P49" s="2"/>
      <c r="Q49" s="20" t="str">
        <f aca="false">Q29</f>
        <v>Activation Commission</v>
      </c>
      <c r="R49" s="3" t="n">
        <f aca="false">Inputs!E145</f>
        <v>20</v>
      </c>
      <c r="S49" s="3"/>
      <c r="T49" s="402" t="n">
        <f aca="false">(D$52+D$57)*$R49</f>
        <v>5333333.334</v>
      </c>
      <c r="U49" s="402" t="n">
        <f aca="false">(E$52+E$57)*$R49</f>
        <v>800000</v>
      </c>
      <c r="V49" s="402" t="n">
        <f aca="false">(F$52+F$57)*$R49</f>
        <v>840000</v>
      </c>
      <c r="W49" s="403" t="n">
        <f aca="false">(G$52+G$57)*$R49</f>
        <v>882000</v>
      </c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3.5" hidden="false" customHeight="true" outlineLevel="0" collapsed="false">
      <c r="A50" s="428" t="str">
        <f aca="false">A7&amp;" Subscriber Growth"</f>
        <v>Product 1 Subscriber Growth</v>
      </c>
      <c r="B50" s="426"/>
      <c r="C50" s="426"/>
      <c r="D50" s="447" t="n">
        <f aca="false">Inputs!$E$154*C7+D7</f>
        <v>2133333.333</v>
      </c>
      <c r="E50" s="447" t="n">
        <f aca="false">Inputs!$E$154*D7</f>
        <v>213333.3333</v>
      </c>
      <c r="F50" s="447" t="n">
        <f aca="false">Inputs!$E$154*E7</f>
        <v>224000</v>
      </c>
      <c r="G50" s="448" t="n">
        <f aca="false">Inputs!$E$154*F7</f>
        <v>235200</v>
      </c>
      <c r="H50" s="2"/>
      <c r="I50" s="2"/>
      <c r="J50" s="2"/>
      <c r="K50" s="2"/>
      <c r="L50" s="2"/>
      <c r="M50" s="2"/>
      <c r="N50" s="2"/>
      <c r="O50" s="2"/>
      <c r="P50" s="2"/>
      <c r="Q50" s="20" t="str">
        <f aca="false">Q30</f>
        <v>Billing, Office, Bad Debt</v>
      </c>
      <c r="R50" s="3" t="n">
        <f aca="false">Inputs!E146</f>
        <v>4.55</v>
      </c>
      <c r="S50" s="3"/>
      <c r="T50" s="402" t="n">
        <f aca="false">(D$52+D$57)*$R50</f>
        <v>1213333.333485</v>
      </c>
      <c r="U50" s="402" t="n">
        <f aca="false">(E$52+E$57)*$R50</f>
        <v>182000</v>
      </c>
      <c r="V50" s="402" t="n">
        <f aca="false">(F$52+F$57)*$R50</f>
        <v>191100</v>
      </c>
      <c r="W50" s="403" t="n">
        <f aca="false">(G$52+G$57)*$R50</f>
        <v>200655</v>
      </c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2.75" hidden="false" customHeight="true" outlineLevel="0" collapsed="false">
      <c r="A51" s="433" t="str">
        <f aca="false">A8&amp;" Subscriber Growth"</f>
        <v>Product 2 Subscriber Growth</v>
      </c>
      <c r="B51" s="431"/>
      <c r="C51" s="431"/>
      <c r="D51" s="465" t="n">
        <f aca="false">Inputs!$E$154*C8+D8</f>
        <v>266666.6667</v>
      </c>
      <c r="E51" s="465" t="n">
        <f aca="false">Inputs!$E$154*D8</f>
        <v>26666.66667</v>
      </c>
      <c r="F51" s="465" t="n">
        <f aca="false">Inputs!$E$154*E8</f>
        <v>28000</v>
      </c>
      <c r="G51" s="481" t="n">
        <f aca="false">Inputs!$E$154*F8</f>
        <v>29400</v>
      </c>
      <c r="H51" s="2"/>
      <c r="I51" s="425" t="n">
        <f aca="false">SUM(D38:G38)</f>
        <v>2845704160</v>
      </c>
      <c r="J51" s="426" t="s">
        <v>313</v>
      </c>
      <c r="K51" s="427"/>
      <c r="L51" s="2"/>
      <c r="M51" s="428" t="s">
        <v>314</v>
      </c>
      <c r="N51" s="458" t="n">
        <f aca="false">F44</f>
        <v>11.54751418</v>
      </c>
      <c r="O51" s="2"/>
      <c r="P51" s="2"/>
      <c r="Q51" s="20" t="str">
        <f aca="false">Q31</f>
        <v>Recurring Commission</v>
      </c>
      <c r="R51" s="2"/>
      <c r="S51" s="400" t="n">
        <f aca="false">Inputs!E147</f>
        <v>0.15</v>
      </c>
      <c r="T51" s="402" t="n">
        <f aca="false">$S$51*T20</f>
        <v>4776000.000597</v>
      </c>
      <c r="U51" s="402" t="n">
        <f aca="false">$S$51*U20</f>
        <v>5014800.0007164</v>
      </c>
      <c r="V51" s="402" t="n">
        <f aca="false">$S$51*V20</f>
        <v>5265540.0007164</v>
      </c>
      <c r="W51" s="403" t="n">
        <f aca="false">$S$51*W20</f>
        <v>5528817.0007164</v>
      </c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customFormat="false" ht="12.75" hidden="false" customHeight="true" outlineLevel="0" collapsed="false">
      <c r="A52" s="433" t="str">
        <f aca="false">A9&amp;" Subscriber Growth"</f>
        <v>Product 3 Subscriber Growth</v>
      </c>
      <c r="B52" s="431"/>
      <c r="C52" s="431"/>
      <c r="D52" s="465" t="n">
        <f aca="false">Inputs!$E$154*C9+D9</f>
        <v>266666.6667</v>
      </c>
      <c r="E52" s="465" t="n">
        <f aca="false">Inputs!$E$154*D9</f>
        <v>26666.66667</v>
      </c>
      <c r="F52" s="465" t="n">
        <f aca="false">Inputs!$E$154*E9</f>
        <v>28000</v>
      </c>
      <c r="G52" s="481" t="n">
        <f aca="false">Inputs!$E$154*F9</f>
        <v>29400</v>
      </c>
      <c r="H52" s="2"/>
      <c r="I52" s="430" t="n">
        <f aca="false">SUM(L29:O29)</f>
        <v>1533370070</v>
      </c>
      <c r="J52" s="431" t="s">
        <v>317</v>
      </c>
      <c r="K52" s="432"/>
      <c r="L52" s="2"/>
      <c r="M52" s="433" t="s">
        <v>318</v>
      </c>
      <c r="N52" s="459" t="n">
        <f aca="false">N36</f>
        <v>7.945628734</v>
      </c>
      <c r="O52" s="2"/>
      <c r="P52" s="2"/>
      <c r="Q52" s="20" t="str">
        <f aca="false">Q32</f>
        <v>Wholesale Provider Cost</v>
      </c>
      <c r="R52" s="2"/>
      <c r="S52" s="3" t="n">
        <f aca="false">Inputs!E148</f>
        <v>5.55</v>
      </c>
      <c r="T52" s="402" t="n">
        <f aca="false">12*$S$52*T9</f>
        <v>17760000.00222</v>
      </c>
      <c r="U52" s="402" t="n">
        <f aca="false">12*$S$52*U9</f>
        <v>18648000.002664</v>
      </c>
      <c r="V52" s="402" t="n">
        <f aca="false">12*$S$52*V9</f>
        <v>19580400.002664</v>
      </c>
      <c r="W52" s="403" t="n">
        <f aca="false">12*$S$52*W9</f>
        <v>20559420.002664</v>
      </c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customFormat="false" ht="13.5" hidden="false" customHeight="true" outlineLevel="0" collapsed="false">
      <c r="A53" s="450" t="str">
        <f aca="false">A10&amp;" Subscriber Growth"</f>
        <v>Prodcut 4 Subscriber Growth</v>
      </c>
      <c r="B53" s="451"/>
      <c r="C53" s="451"/>
      <c r="D53" s="482" t="n">
        <f aca="false">Inputs!$E$154*C10+D10</f>
        <v>1000000</v>
      </c>
      <c r="E53" s="482" t="n">
        <f aca="false">Inputs!$E$154*D10</f>
        <v>100000</v>
      </c>
      <c r="F53" s="482" t="n">
        <f aca="false">Inputs!$E$154*E10</f>
        <v>105000</v>
      </c>
      <c r="G53" s="483" t="n">
        <f aca="false">Inputs!$E$154*F10</f>
        <v>110250</v>
      </c>
      <c r="H53" s="2"/>
      <c r="I53" s="435" t="n">
        <f aca="false">SUM(T66:W66)</f>
        <v>2998195879</v>
      </c>
      <c r="J53" s="436" t="s">
        <v>319</v>
      </c>
      <c r="K53" s="437"/>
      <c r="L53" s="2"/>
      <c r="M53" s="433" t="s">
        <v>320</v>
      </c>
      <c r="N53" s="459" t="n">
        <f aca="false">V72</f>
        <v>10.74342561</v>
      </c>
      <c r="O53" s="2"/>
      <c r="P53" s="2"/>
      <c r="Q53" s="20" t="str">
        <f aca="false">Q33</f>
        <v>Marketing Expense</v>
      </c>
      <c r="R53" s="2"/>
      <c r="S53" s="3" t="n">
        <f aca="false">Inputs!E149</f>
        <v>3</v>
      </c>
      <c r="T53" s="402" t="n">
        <f aca="false">T9*$S53</f>
        <v>800000.0001</v>
      </c>
      <c r="U53" s="402" t="n">
        <f aca="false">U9*$S53</f>
        <v>840000.00012</v>
      </c>
      <c r="V53" s="402" t="n">
        <f aca="false">V9*$S53</f>
        <v>882000.00012</v>
      </c>
      <c r="W53" s="403" t="n">
        <f aca="false">W9*$S53</f>
        <v>926100.00012</v>
      </c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customFormat="false" ht="13.5" hidden="false" customHeight="true" outlineLevel="0" collapsed="false">
      <c r="A54" s="455" t="s">
        <v>349</v>
      </c>
      <c r="B54" s="436"/>
      <c r="C54" s="436"/>
      <c r="D54" s="456" t="n">
        <f aca="false">SUM(D50:D53)</f>
        <v>3666666.6664</v>
      </c>
      <c r="E54" s="456" t="n">
        <f aca="false">SUM(E50:E53)</f>
        <v>366666.66664</v>
      </c>
      <c r="F54" s="456" t="n">
        <f aca="false">SUM(F50:F53)</f>
        <v>385000</v>
      </c>
      <c r="G54" s="457" t="n">
        <f aca="false">SUM(G50:G53)</f>
        <v>404250</v>
      </c>
      <c r="H54" s="2"/>
      <c r="I54" s="443" t="n">
        <f aca="false">MAX(I51:I53)-MIN(I51:I53)</f>
        <v>1464825809</v>
      </c>
      <c r="J54" s="439" t="s">
        <v>324</v>
      </c>
      <c r="K54" s="440"/>
      <c r="L54" s="2"/>
      <c r="M54" s="441" t="s">
        <v>325</v>
      </c>
      <c r="N54" s="463" t="n">
        <f aca="false">MAX(N51:N53)-MIN(N51:N53)</f>
        <v>3.601885442</v>
      </c>
      <c r="O54" s="2"/>
      <c r="P54" s="2"/>
      <c r="Q54" s="20" t="str">
        <f aca="false">Q34</f>
        <v>Sales and General Administrative</v>
      </c>
      <c r="R54" s="2"/>
      <c r="S54" s="3" t="n">
        <f aca="false">Inputs!E150</f>
        <v>1</v>
      </c>
      <c r="T54" s="402" t="n">
        <f aca="false">T9*$S54</f>
        <v>266666.6667</v>
      </c>
      <c r="U54" s="402" t="n">
        <f aca="false">U9*$S54</f>
        <v>280000.00004</v>
      </c>
      <c r="V54" s="402" t="n">
        <f aca="false">V9*$S54</f>
        <v>294000.00004</v>
      </c>
      <c r="W54" s="403" t="n">
        <f aca="false">W9*$S54</f>
        <v>308700.00004</v>
      </c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customFormat="false" ht="13.5" hidden="false" customHeight="true" outlineLevel="0" collapsed="false">
      <c r="A55" s="428" t="str">
        <f aca="false">A7&amp;" Churn"</f>
        <v>Product 1 Churn</v>
      </c>
      <c r="B55" s="447"/>
      <c r="C55" s="447"/>
      <c r="D55" s="447" t="n">
        <f aca="false">Inputs!$C$154*C7</f>
        <v>0</v>
      </c>
      <c r="E55" s="447" t="n">
        <f aca="false">Inputs!$C$154*D7</f>
        <v>106666.6667</v>
      </c>
      <c r="F55" s="447" t="n">
        <f aca="false">Inputs!$C$154*E7</f>
        <v>112000</v>
      </c>
      <c r="G55" s="448" t="n">
        <f aca="false">Inputs!$C$154*F7</f>
        <v>117600</v>
      </c>
      <c r="H55" s="2"/>
      <c r="I55" s="443" t="n">
        <f aca="false">AVERAGE(I51:I53)</f>
        <v>2459090036</v>
      </c>
      <c r="J55" s="439" t="s">
        <v>327</v>
      </c>
      <c r="K55" s="440"/>
      <c r="L55" s="2"/>
      <c r="M55" s="441" t="s">
        <v>328</v>
      </c>
      <c r="N55" s="463" t="n">
        <f aca="false">AVERAGE(N51:N53)</f>
        <v>10.07885617</v>
      </c>
      <c r="O55" s="2"/>
      <c r="P55" s="2"/>
      <c r="Q55" s="20" t="str">
        <f aca="false">Q35</f>
        <v>Occupancy</v>
      </c>
      <c r="R55" s="2"/>
      <c r="S55" s="3" t="n">
        <f aca="false">Inputs!E151</f>
        <v>0.25</v>
      </c>
      <c r="T55" s="402" t="n">
        <f aca="false">T9*$S55</f>
        <v>66666.666675</v>
      </c>
      <c r="U55" s="402" t="n">
        <f aca="false">U9*$S55</f>
        <v>70000.00001</v>
      </c>
      <c r="V55" s="402" t="n">
        <f aca="false">V9*$S55</f>
        <v>73500.00001</v>
      </c>
      <c r="W55" s="403" t="n">
        <f aca="false">W9*$S55</f>
        <v>77175.00001</v>
      </c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customFormat="false" ht="12.75" hidden="false" customHeight="true" outlineLevel="0" collapsed="false">
      <c r="A56" s="433" t="str">
        <f aca="false">A8&amp;" Churn"</f>
        <v>Product 2 Churn</v>
      </c>
      <c r="B56" s="465"/>
      <c r="C56" s="465"/>
      <c r="D56" s="465" t="n">
        <f aca="false">Inputs!$C$154*C8</f>
        <v>0</v>
      </c>
      <c r="E56" s="465" t="n">
        <f aca="false">Inputs!$C$154*D8</f>
        <v>13333.33333</v>
      </c>
      <c r="F56" s="465" t="n">
        <f aca="false">Inputs!$C$154*E8</f>
        <v>14000</v>
      </c>
      <c r="G56" s="481" t="n">
        <f aca="false">Inputs!$C$154*F8</f>
        <v>14700</v>
      </c>
      <c r="H56" s="2"/>
      <c r="I56" s="445" t="n">
        <f aca="false">MAX(I51:I53)/I55-1</f>
        <v>0.2192298104</v>
      </c>
      <c r="J56" s="426" t="s">
        <v>307</v>
      </c>
      <c r="K56" s="427"/>
      <c r="L56" s="2"/>
      <c r="M56" s="433" t="s">
        <v>307</v>
      </c>
      <c r="N56" s="446" t="n">
        <f aca="false">MAX(N51:N53)/N55-1</f>
        <v>0.145716734</v>
      </c>
      <c r="O56" s="2"/>
      <c r="P56" s="2"/>
      <c r="Q56" s="474" t="str">
        <f aca="false">Q10</f>
        <v>Prodcut 4</v>
      </c>
      <c r="R56" s="3"/>
      <c r="S56" s="3"/>
      <c r="T56" s="402"/>
      <c r="U56" s="402"/>
      <c r="V56" s="402"/>
      <c r="W56" s="403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customFormat="false" ht="13.5" hidden="false" customHeight="true" outlineLevel="0" collapsed="false">
      <c r="A57" s="433" t="str">
        <f aca="false">A9&amp;" Churn"</f>
        <v>Product 3 Churn</v>
      </c>
      <c r="B57" s="465"/>
      <c r="C57" s="465"/>
      <c r="D57" s="465" t="n">
        <f aca="false">Inputs!$C$154*C9</f>
        <v>0</v>
      </c>
      <c r="E57" s="465" t="n">
        <f aca="false">Inputs!$C$154*D9</f>
        <v>13333.33333</v>
      </c>
      <c r="F57" s="465" t="n">
        <f aca="false">Inputs!$C$154*E9</f>
        <v>14000</v>
      </c>
      <c r="G57" s="481" t="n">
        <f aca="false">Inputs!$C$154*F9</f>
        <v>14700</v>
      </c>
      <c r="H57" s="2"/>
      <c r="I57" s="449" t="n">
        <f aca="false">MIN(I51:I53)/I55-1</f>
        <v>-0.376448179</v>
      </c>
      <c r="J57" s="436" t="s">
        <v>309</v>
      </c>
      <c r="K57" s="437"/>
      <c r="L57" s="2"/>
      <c r="M57" s="433" t="s">
        <v>309</v>
      </c>
      <c r="N57" s="446" t="n">
        <f aca="false">MIN(N51:N53)/N55-1</f>
        <v>-0.2116537236</v>
      </c>
      <c r="O57" s="2"/>
      <c r="P57" s="2"/>
      <c r="Q57" s="20" t="str">
        <f aca="false">Q27</f>
        <v>Equipment Cost</v>
      </c>
      <c r="R57" s="3" t="n">
        <f aca="false">Inputs!F143</f>
        <v>42</v>
      </c>
      <c r="S57" s="3"/>
      <c r="T57" s="402" t="n">
        <f aca="false">(D$53+D$58)*$R57</f>
        <v>42000000</v>
      </c>
      <c r="U57" s="402" t="n">
        <f aca="false">(E$53+E$58)*$R57</f>
        <v>6300000</v>
      </c>
      <c r="V57" s="402" t="n">
        <f aca="false">(F$53+F$58)*$R57</f>
        <v>6615000</v>
      </c>
      <c r="W57" s="403" t="n">
        <f aca="false">(G$53+G$58)*$R57</f>
        <v>6945750</v>
      </c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customFormat="false" ht="13.5" hidden="false" customHeight="true" outlineLevel="0" collapsed="false">
      <c r="A58" s="450" t="str">
        <f aca="false">A10&amp;" Churn"</f>
        <v>Prodcut 4 Churn</v>
      </c>
      <c r="B58" s="482"/>
      <c r="C58" s="482"/>
      <c r="D58" s="482" t="n">
        <f aca="false">Inputs!$C$154*C10</f>
        <v>0</v>
      </c>
      <c r="E58" s="482" t="n">
        <f aca="false">Inputs!$C$154*D10</f>
        <v>50000</v>
      </c>
      <c r="F58" s="482" t="n">
        <f aca="false">Inputs!$C$154*E10</f>
        <v>52500</v>
      </c>
      <c r="G58" s="483" t="n">
        <f aca="false">Inputs!$C$154*F10</f>
        <v>55125</v>
      </c>
      <c r="H58" s="2"/>
      <c r="I58" s="453" t="n">
        <f aca="false">I54/I55</f>
        <v>0.5956779895</v>
      </c>
      <c r="J58" s="439" t="s">
        <v>311</v>
      </c>
      <c r="K58" s="440"/>
      <c r="L58" s="2"/>
      <c r="M58" s="441" t="s">
        <v>311</v>
      </c>
      <c r="N58" s="454" t="n">
        <f aca="false">N54/N55</f>
        <v>0.3573704576</v>
      </c>
      <c r="O58" s="2"/>
      <c r="P58" s="2"/>
      <c r="Q58" s="20" t="str">
        <f aca="false">Q28</f>
        <v>Shipping Cost</v>
      </c>
      <c r="R58" s="3" t="n">
        <f aca="false">Inputs!F144</f>
        <v>3</v>
      </c>
      <c r="S58" s="3"/>
      <c r="T58" s="402" t="n">
        <f aca="false">(D$53+D$58)*$R58</f>
        <v>3000000</v>
      </c>
      <c r="U58" s="402" t="n">
        <f aca="false">(E$53+E$58)*$R58</f>
        <v>450000</v>
      </c>
      <c r="V58" s="402" t="n">
        <f aca="false">(F$53+F$58)*$R58</f>
        <v>472500</v>
      </c>
      <c r="W58" s="403" t="n">
        <f aca="false">(G$53+G$58)*$R58</f>
        <v>496125</v>
      </c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customFormat="false" ht="13.5" hidden="false" customHeight="true" outlineLevel="0" collapsed="false">
      <c r="A59" s="455" t="s">
        <v>350</v>
      </c>
      <c r="B59" s="456"/>
      <c r="C59" s="456"/>
      <c r="D59" s="456" t="n">
        <f aca="false">SUM(D55:D58)</f>
        <v>0</v>
      </c>
      <c r="E59" s="456" t="n">
        <f aca="false">SUM(E55:E58)</f>
        <v>183333.33336</v>
      </c>
      <c r="F59" s="456" t="n">
        <f aca="false">SUM(F55:F58)</f>
        <v>192500</v>
      </c>
      <c r="G59" s="457" t="n">
        <f aca="false">SUM(G55:G58)</f>
        <v>202125</v>
      </c>
      <c r="H59" s="2"/>
      <c r="I59" s="2"/>
      <c r="J59" s="2"/>
      <c r="K59" s="2"/>
      <c r="L59" s="2"/>
      <c r="M59" s="2"/>
      <c r="N59" s="2"/>
      <c r="O59" s="2"/>
      <c r="P59" s="2"/>
      <c r="Q59" s="20" t="str">
        <f aca="false">Q29</f>
        <v>Activation Commission</v>
      </c>
      <c r="R59" s="3" t="n">
        <f aca="false">Inputs!F145</f>
        <v>20</v>
      </c>
      <c r="S59" s="3"/>
      <c r="T59" s="402" t="n">
        <f aca="false">(D$53+D$58)*$R59</f>
        <v>20000000</v>
      </c>
      <c r="U59" s="402" t="n">
        <f aca="false">(E$53+E$58)*$R59</f>
        <v>3000000</v>
      </c>
      <c r="V59" s="402" t="n">
        <f aca="false">(F$53+F$58)*$R59</f>
        <v>3150000</v>
      </c>
      <c r="W59" s="403" t="n">
        <f aca="false">(G$53+G$58)*$R59</f>
        <v>3307500</v>
      </c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customFormat="false" ht="13.5" hidden="false" customHeight="true" outlineLevel="0" collapsed="false">
      <c r="A60" s="344" t="s">
        <v>351</v>
      </c>
      <c r="B60" s="484"/>
      <c r="C60" s="484"/>
      <c r="D60" s="485" t="n">
        <f aca="false">SUM(D54,D59)</f>
        <v>3666666.6664</v>
      </c>
      <c r="E60" s="485" t="n">
        <f aca="false">SUM(E54,E59)</f>
        <v>550000</v>
      </c>
      <c r="F60" s="485" t="n">
        <f aca="false">SUM(F54,F59)</f>
        <v>577500</v>
      </c>
      <c r="G60" s="486" t="n">
        <f aca="false">SUM(G54,G59)</f>
        <v>606375</v>
      </c>
      <c r="H60" s="2"/>
      <c r="I60" s="425" t="n">
        <f aca="false">SUM(D40:G40)</f>
        <v>2189934146</v>
      </c>
      <c r="J60" s="426" t="s">
        <v>333</v>
      </c>
      <c r="K60" s="427"/>
      <c r="L60" s="2"/>
      <c r="M60" s="2"/>
      <c r="N60" s="2"/>
      <c r="O60" s="2"/>
      <c r="P60" s="2"/>
      <c r="Q60" s="20" t="str">
        <f aca="false">Q30</f>
        <v>Billing, Office, Bad Debt</v>
      </c>
      <c r="R60" s="3" t="n">
        <f aca="false">Inputs!F146</f>
        <v>5.92</v>
      </c>
      <c r="S60" s="3"/>
      <c r="T60" s="402" t="n">
        <f aca="false">(D$53+D$58)*$R60</f>
        <v>5920000</v>
      </c>
      <c r="U60" s="402" t="n">
        <f aca="false">(E$53+E$58)*$R60</f>
        <v>888000</v>
      </c>
      <c r="V60" s="402" t="n">
        <f aca="false">(F$53+F$58)*$R60</f>
        <v>932400</v>
      </c>
      <c r="W60" s="403" t="n">
        <f aca="false">(G$53+G$58)*$R60</f>
        <v>979020</v>
      </c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430" t="n">
        <f aca="false">SUM(L32:O32)</f>
        <v>1506852766</v>
      </c>
      <c r="J61" s="431" t="s">
        <v>334</v>
      </c>
      <c r="K61" s="432"/>
      <c r="L61" s="2"/>
      <c r="M61" s="2"/>
      <c r="N61" s="2"/>
      <c r="O61" s="2"/>
      <c r="P61" s="2"/>
      <c r="Q61" s="20" t="str">
        <f aca="false">Q31</f>
        <v>Recurring Commission</v>
      </c>
      <c r="R61" s="2"/>
      <c r="S61" s="400" t="n">
        <f aca="false">Inputs!F147</f>
        <v>0.15</v>
      </c>
      <c r="T61" s="402" t="n">
        <f aca="false">$S$61*T21</f>
        <v>80910000</v>
      </c>
      <c r="U61" s="402" t="n">
        <f aca="false">$S$61*U21</f>
        <v>84955500</v>
      </c>
      <c r="V61" s="402" t="n">
        <f aca="false">$S$61*V21</f>
        <v>89203275</v>
      </c>
      <c r="W61" s="403" t="n">
        <f aca="false">$S$61*W21</f>
        <v>93663438.75</v>
      </c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435" t="n">
        <f aca="false">SUM(T68:W68)</f>
        <v>2037442427</v>
      </c>
      <c r="J62" s="436" t="s">
        <v>335</v>
      </c>
      <c r="K62" s="437"/>
      <c r="L62" s="2"/>
      <c r="M62" s="2"/>
      <c r="N62" s="2"/>
      <c r="O62" s="2"/>
      <c r="P62" s="2"/>
      <c r="Q62" s="20" t="str">
        <f aca="false">Q32</f>
        <v>Wholesale Provider Cost</v>
      </c>
      <c r="R62" s="2"/>
      <c r="S62" s="3" t="n">
        <f aca="false">Inputs!F148</f>
        <v>16.64</v>
      </c>
      <c r="T62" s="402" t="n">
        <f aca="false">$S$62*12*T10</f>
        <v>199680000</v>
      </c>
      <c r="U62" s="402" t="n">
        <f aca="false">$S$62*12*U10</f>
        <v>209664000</v>
      </c>
      <c r="V62" s="402" t="n">
        <f aca="false">$S$62*12*V10</f>
        <v>220147200</v>
      </c>
      <c r="W62" s="403" t="n">
        <f aca="false">$S$62*12*W10</f>
        <v>231154560</v>
      </c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443" t="n">
        <f aca="false">MAX(I60:I62)-MIN(I60:I62)</f>
        <v>683081380</v>
      </c>
      <c r="J63" s="439" t="s">
        <v>337</v>
      </c>
      <c r="K63" s="440"/>
      <c r="L63" s="2"/>
      <c r="M63" s="2"/>
      <c r="N63" s="2"/>
      <c r="O63" s="2"/>
      <c r="P63" s="2"/>
      <c r="Q63" s="20" t="str">
        <f aca="false">Q33</f>
        <v>Marketing Expense</v>
      </c>
      <c r="R63" s="2"/>
      <c r="S63" s="3" t="n">
        <f aca="false">Inputs!F149</f>
        <v>3</v>
      </c>
      <c r="T63" s="402" t="n">
        <f aca="false">$S$62*T$10</f>
        <v>16640000</v>
      </c>
      <c r="U63" s="402" t="n">
        <f aca="false">$S$62*U$10</f>
        <v>17472000</v>
      </c>
      <c r="V63" s="402" t="n">
        <f aca="false">$S$62*V$10</f>
        <v>18345600</v>
      </c>
      <c r="W63" s="403" t="n">
        <f aca="false">$S$62*W$10</f>
        <v>19262880</v>
      </c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443" t="n">
        <f aca="false">AVERAGE(I60:I62)</f>
        <v>1911409780</v>
      </c>
      <c r="J64" s="439" t="s">
        <v>338</v>
      </c>
      <c r="K64" s="440"/>
      <c r="L64" s="2"/>
      <c r="M64" s="2"/>
      <c r="N64" s="2"/>
      <c r="O64" s="2"/>
      <c r="P64" s="2"/>
      <c r="Q64" s="20" t="str">
        <f aca="false">Q34</f>
        <v>Sales and General Administrative</v>
      </c>
      <c r="R64" s="2"/>
      <c r="S64" s="3" t="n">
        <f aca="false">Inputs!F150</f>
        <v>1</v>
      </c>
      <c r="T64" s="402" t="n">
        <f aca="false">$S$62*T$10</f>
        <v>16640000</v>
      </c>
      <c r="U64" s="402" t="n">
        <f aca="false">$S$62*U$10</f>
        <v>17472000</v>
      </c>
      <c r="V64" s="402" t="n">
        <f aca="false">$S$62*V$10</f>
        <v>18345600</v>
      </c>
      <c r="W64" s="403" t="n">
        <f aca="false">$S$62*W$10</f>
        <v>19262880</v>
      </c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customFormat="false" ht="12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445" t="n">
        <f aca="false">MAX(I60:I62)/I64-1</f>
        <v>0.1457167214</v>
      </c>
      <c r="J65" s="426" t="s">
        <v>307</v>
      </c>
      <c r="K65" s="427"/>
      <c r="L65" s="2"/>
      <c r="M65" s="2"/>
      <c r="N65" s="2"/>
      <c r="O65" s="2"/>
      <c r="P65" s="2"/>
      <c r="Q65" s="20" t="str">
        <f aca="false">Q35</f>
        <v>Occupancy</v>
      </c>
      <c r="R65" s="2"/>
      <c r="S65" s="3" t="n">
        <f aca="false">Inputs!F151</f>
        <v>0.25</v>
      </c>
      <c r="T65" s="468" t="n">
        <f aca="false">$S$62*T$10</f>
        <v>16640000</v>
      </c>
      <c r="U65" s="468" t="n">
        <f aca="false">$S$62*U$10</f>
        <v>17472000</v>
      </c>
      <c r="V65" s="468" t="n">
        <f aca="false">$S$62*V$10</f>
        <v>18345600</v>
      </c>
      <c r="W65" s="469" t="n">
        <f aca="false">$S$62*W$10</f>
        <v>19262880</v>
      </c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449" t="n">
        <f aca="false">MIN(I60:I62)/I64-1</f>
        <v>-0.2116537323</v>
      </c>
      <c r="J66" s="436" t="s">
        <v>309</v>
      </c>
      <c r="K66" s="437"/>
      <c r="L66" s="2"/>
      <c r="M66" s="2"/>
      <c r="N66" s="2"/>
      <c r="O66" s="2"/>
      <c r="P66" s="2"/>
      <c r="Q66" s="185" t="str">
        <f aca="false">A38</f>
        <v>Total Costs</v>
      </c>
      <c r="R66" s="418"/>
      <c r="S66" s="418"/>
      <c r="T66" s="470" t="n">
        <f aca="false">SUM(T26:T65)</f>
        <v>864389999.952084</v>
      </c>
      <c r="U66" s="470" t="n">
        <f aca="false">SUM(U26:U65)</f>
        <v>676861499.964757</v>
      </c>
      <c r="V66" s="470" t="n">
        <f aca="false">SUM(V26:V65)</f>
        <v>710704574.964757</v>
      </c>
      <c r="W66" s="471" t="n">
        <f aca="false">SUM(W26:W65)</f>
        <v>746239803.714757</v>
      </c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453" t="n">
        <f aca="false">I63/I64</f>
        <v>0.3573704536</v>
      </c>
      <c r="J67" s="439" t="s">
        <v>311</v>
      </c>
      <c r="K67" s="440"/>
      <c r="L67" s="2"/>
      <c r="M67" s="2"/>
      <c r="N67" s="2"/>
      <c r="O67" s="2"/>
      <c r="P67" s="2"/>
      <c r="Q67" s="56"/>
      <c r="R67" s="62"/>
      <c r="S67" s="62"/>
      <c r="T67" s="402"/>
      <c r="U67" s="402"/>
      <c r="V67" s="402"/>
      <c r="W67" s="403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61" t="str">
        <f aca="false">A40</f>
        <v>Total EBITDA</v>
      </c>
      <c r="R68" s="2"/>
      <c r="S68" s="2"/>
      <c r="T68" s="314" t="n">
        <f aca="false">T23-T66</f>
        <v>391666666.636912</v>
      </c>
      <c r="U68" s="480" t="n">
        <f aca="false">U23-U66</f>
        <v>522054166.617319</v>
      </c>
      <c r="V68" s="480" t="n">
        <f aca="false">V23-V66</f>
        <v>548156874.951435</v>
      </c>
      <c r="W68" s="315" t="n">
        <f aca="false">W23-W66</f>
        <v>575564718.701435</v>
      </c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customFormat="false" ht="12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0"/>
      <c r="R69" s="2"/>
      <c r="S69" s="2"/>
      <c r="T69" s="418"/>
      <c r="U69" s="418"/>
      <c r="V69" s="418"/>
      <c r="W69" s="423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customFormat="false" ht="12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56"/>
      <c r="R70" s="2"/>
      <c r="S70" s="2"/>
      <c r="T70" s="93" t="s">
        <v>283</v>
      </c>
      <c r="U70" s="93"/>
      <c r="V70" s="93"/>
      <c r="W70" s="93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customFormat="false" ht="12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56"/>
      <c r="R71" s="148"/>
      <c r="S71" s="2"/>
      <c r="T71" s="101" t="s">
        <v>284</v>
      </c>
      <c r="U71" s="4" t="s">
        <v>285</v>
      </c>
      <c r="V71" s="4" t="s">
        <v>286</v>
      </c>
      <c r="W71" s="93" t="s">
        <v>178</v>
      </c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customFormat="false" ht="12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85"/>
      <c r="R72" s="2"/>
      <c r="S72" s="2"/>
      <c r="T72" s="101" t="n">
        <f aca="false">D44</f>
        <v>26.55290107</v>
      </c>
      <c r="U72" s="101" t="n">
        <f aca="false">(SUM(T66:W66)/12/4)/(SUM(T11:W11)/4)</f>
        <v>15.80947546</v>
      </c>
      <c r="V72" s="101" t="n">
        <f aca="false">T72-U72</f>
        <v>10.74342561</v>
      </c>
      <c r="W72" s="193" t="n">
        <f aca="false">V72/T72</f>
        <v>0.4046045884</v>
      </c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customFormat="false" ht="12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85"/>
      <c r="R73" s="7"/>
      <c r="S73" s="2"/>
      <c r="T73" s="2"/>
      <c r="U73" s="2"/>
      <c r="V73" s="2"/>
      <c r="W73" s="25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customFormat="false" ht="12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35" t="str">
        <f aca="false">A46</f>
        <v>*Subscriber number assumes a monthly customer churn rate of 5%</v>
      </c>
      <c r="R74" s="2"/>
      <c r="S74" s="2"/>
      <c r="T74" s="2"/>
      <c r="U74" s="2"/>
      <c r="V74" s="2"/>
      <c r="W74" s="25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customFormat="false" ht="12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424"/>
      <c r="R75" s="424"/>
      <c r="S75" s="424"/>
      <c r="T75" s="424"/>
      <c r="U75" s="424"/>
      <c r="V75" s="424"/>
      <c r="W75" s="424"/>
      <c r="X75" s="2"/>
      <c r="Y75" s="2"/>
      <c r="Z75" s="2"/>
      <c r="AA75" s="2"/>
      <c r="AB75" s="2"/>
      <c r="AC75" s="2"/>
      <c r="AD75" s="2"/>
      <c r="AE75" s="2"/>
      <c r="AF75" s="2"/>
      <c r="AG75" s="2"/>
    </row>
  </sheetData>
  <mergeCells count="21">
    <mergeCell ref="A1:G1"/>
    <mergeCell ref="I1:O1"/>
    <mergeCell ref="Q1:W1"/>
    <mergeCell ref="A2:G2"/>
    <mergeCell ref="I2:O2"/>
    <mergeCell ref="Q2:W2"/>
    <mergeCell ref="A3:G3"/>
    <mergeCell ref="I3:O3"/>
    <mergeCell ref="Q3:W3"/>
    <mergeCell ref="A4:G4"/>
    <mergeCell ref="I4:O4"/>
    <mergeCell ref="Q4:W4"/>
    <mergeCell ref="D5:G5"/>
    <mergeCell ref="L5:O5"/>
    <mergeCell ref="T5:W5"/>
    <mergeCell ref="L34:O34"/>
    <mergeCell ref="I39:O40"/>
    <mergeCell ref="D42:G42"/>
    <mergeCell ref="A47:G48"/>
    <mergeCell ref="T70:W70"/>
    <mergeCell ref="Q75:W75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27.86"/>
    <col collapsed="false" customWidth="true" hidden="false" outlineLevel="0" max="2" min="2" style="0" width="9.71"/>
    <col collapsed="false" customWidth="true" hidden="false" outlineLevel="0" max="6" min="3" style="0" width="11.14"/>
    <col collapsed="false" customWidth="true" hidden="false" outlineLevel="0" max="16" min="7" style="0" width="9"/>
    <col collapsed="false" customWidth="true" hidden="false" outlineLevel="0" max="26" min="17" style="0" width="7"/>
    <col collapsed="false" customWidth="true" hidden="false" outlineLevel="0" max="1025" min="27" style="0" width="14.43"/>
  </cols>
  <sheetData>
    <row r="1" customFormat="false" ht="12.75" hidden="false" customHeight="true" outlineLevel="0" collapsed="false">
      <c r="A1" s="18" t="s">
        <v>213</v>
      </c>
      <c r="B1" s="18"/>
      <c r="C1" s="18"/>
      <c r="D1" s="18"/>
      <c r="E1" s="18"/>
      <c r="F1" s="1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9" t="s">
        <v>341</v>
      </c>
      <c r="B2" s="29"/>
      <c r="C2" s="29"/>
      <c r="D2" s="29"/>
      <c r="E2" s="29"/>
      <c r="F2" s="2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9" t="s">
        <v>247</v>
      </c>
      <c r="B3" s="29"/>
      <c r="C3" s="29"/>
      <c r="D3" s="29"/>
      <c r="E3" s="29"/>
      <c r="F3" s="2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56"/>
      <c r="B4" s="2"/>
      <c r="C4" s="2"/>
      <c r="D4" s="2"/>
      <c r="E4" s="2"/>
      <c r="F4" s="2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2.75" hidden="false" customHeight="true" outlineLevel="0" collapsed="false">
      <c r="A5" s="185" t="s">
        <v>352</v>
      </c>
      <c r="B5" s="1"/>
      <c r="C5" s="27" t="s">
        <v>342</v>
      </c>
      <c r="D5" s="27" t="s">
        <v>343</v>
      </c>
      <c r="E5" s="27" t="s">
        <v>344</v>
      </c>
      <c r="F5" s="28" t="s">
        <v>345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0" t="s">
        <v>8</v>
      </c>
      <c r="B6" s="2"/>
      <c r="C6" s="2" t="n">
        <f aca="false">Inputs!C170</f>
        <v>100</v>
      </c>
      <c r="D6" s="2" t="n">
        <f aca="false">C6+Inputs!D170</f>
        <v>150</v>
      </c>
      <c r="E6" s="2" t="n">
        <f aca="false">D6+Inputs!D170</f>
        <v>200</v>
      </c>
      <c r="F6" s="25" t="n">
        <f aca="false">E6+Inputs!D170</f>
        <v>250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0" t="s">
        <v>31</v>
      </c>
      <c r="B7" s="2"/>
      <c r="C7" s="2" t="n">
        <f aca="false">Inputs!C171</f>
        <v>150</v>
      </c>
      <c r="D7" s="2" t="n">
        <f aca="false">C7+Inputs!D171</f>
        <v>200</v>
      </c>
      <c r="E7" s="2" t="n">
        <f aca="false">D7+Inputs!D171</f>
        <v>250</v>
      </c>
      <c r="F7" s="25" t="n">
        <f aca="false">E7+Inputs!D171</f>
        <v>300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2.75" hidden="false" customHeight="true" outlineLevel="0" collapsed="false">
      <c r="A8" s="20" t="s">
        <v>34</v>
      </c>
      <c r="B8" s="2"/>
      <c r="C8" s="31" t="n">
        <f aca="false">Inputs!C172</f>
        <v>125</v>
      </c>
      <c r="D8" s="31" t="n">
        <f aca="false">C8+Inputs!D172</f>
        <v>175</v>
      </c>
      <c r="E8" s="31" t="n">
        <f aca="false">D8+Inputs!D172</f>
        <v>225</v>
      </c>
      <c r="F8" s="32" t="n">
        <f aca="false">E8+Inputs!D172</f>
        <v>275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2.75" hidden="false" customHeight="true" outlineLevel="0" collapsed="false">
      <c r="A9" s="392" t="s">
        <v>353</v>
      </c>
      <c r="B9" s="2"/>
      <c r="C9" s="2" t="n">
        <f aca="false">SUM(C6:C8)</f>
        <v>375</v>
      </c>
      <c r="D9" s="2" t="n">
        <f aca="false">SUM(D6:D8)</f>
        <v>525</v>
      </c>
      <c r="E9" s="2" t="n">
        <f aca="false">SUM(E6:E8)</f>
        <v>675</v>
      </c>
      <c r="F9" s="25" t="n">
        <f aca="false">SUM(F6:F8)</f>
        <v>825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.75" hidden="false" customHeight="true" outlineLevel="0" collapsed="false">
      <c r="A10" s="56"/>
      <c r="B10" s="2"/>
      <c r="C10" s="2"/>
      <c r="D10" s="2"/>
      <c r="E10" s="2"/>
      <c r="F10" s="2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61" t="s">
        <v>80</v>
      </c>
      <c r="B11" s="4" t="s">
        <v>106</v>
      </c>
      <c r="C11" s="2"/>
      <c r="D11" s="2"/>
      <c r="E11" s="2"/>
      <c r="F11" s="2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.75" hidden="false" customHeight="true" outlineLevel="0" collapsed="false">
      <c r="A12" s="20" t="str">
        <f aca="false">A6&amp;" at"</f>
        <v>Product 1 at</v>
      </c>
      <c r="B12" s="7" t="n">
        <f aca="false">Inputs!E170</f>
        <v>3750</v>
      </c>
      <c r="C12" s="7" t="n">
        <f aca="false">$B12*C6</f>
        <v>375000</v>
      </c>
      <c r="D12" s="7" t="n">
        <f aca="false">$B12*D6</f>
        <v>562500</v>
      </c>
      <c r="E12" s="7" t="n">
        <f aca="false">$B12*E6</f>
        <v>750000</v>
      </c>
      <c r="F12" s="35" t="n">
        <f aca="false">$B12*F6</f>
        <v>937500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>
      <c r="A13" s="20" t="str">
        <f aca="false">A7&amp;" at"</f>
        <v>Product 2 at</v>
      </c>
      <c r="B13" s="7" t="n">
        <f aca="false">Inputs!E171</f>
        <v>44.95</v>
      </c>
      <c r="C13" s="7" t="n">
        <f aca="false">$B13*C7</f>
        <v>6742.5</v>
      </c>
      <c r="D13" s="7" t="n">
        <f aca="false">$B13*D7</f>
        <v>8990</v>
      </c>
      <c r="E13" s="7" t="n">
        <f aca="false">$B13*E7</f>
        <v>11237.5</v>
      </c>
      <c r="F13" s="35" t="n">
        <f aca="false">$B13*F7</f>
        <v>13485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.75" hidden="false" customHeight="true" outlineLevel="0" collapsed="false">
      <c r="A14" s="20" t="str">
        <f aca="false">A8&amp;" at"</f>
        <v>Product 3 at</v>
      </c>
      <c r="B14" s="7" t="n">
        <f aca="false">Inputs!E172</f>
        <v>0</v>
      </c>
      <c r="C14" s="70" t="n">
        <f aca="false">$B14*C8</f>
        <v>0</v>
      </c>
      <c r="D14" s="70" t="n">
        <f aca="false">$B14*D8</f>
        <v>0</v>
      </c>
      <c r="E14" s="70" t="n">
        <f aca="false">$B14*E8</f>
        <v>0</v>
      </c>
      <c r="F14" s="73" t="n">
        <f aca="false">$B14*F8</f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.75" hidden="false" customHeight="true" outlineLevel="0" collapsed="false">
      <c r="A15" s="392" t="s">
        <v>173</v>
      </c>
      <c r="B15" s="2"/>
      <c r="C15" s="7" t="n">
        <f aca="false">SUM(C12:C14)</f>
        <v>381742.5</v>
      </c>
      <c r="D15" s="7" t="n">
        <f aca="false">SUM(D12:D14)</f>
        <v>571490</v>
      </c>
      <c r="E15" s="7" t="n">
        <f aca="false">SUM(E12:E14)</f>
        <v>761237.5</v>
      </c>
      <c r="F15" s="35" t="n">
        <f aca="false">SUM(F12:F14)</f>
        <v>950985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.75" hidden="false" customHeight="true" outlineLevel="0" collapsed="false">
      <c r="A16" s="56"/>
      <c r="B16" s="2"/>
      <c r="C16" s="2"/>
      <c r="D16" s="2"/>
      <c r="E16" s="2"/>
      <c r="F16" s="2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.75" hidden="false" customHeight="true" outlineLevel="0" collapsed="false">
      <c r="A17" s="185" t="s">
        <v>354</v>
      </c>
      <c r="B17" s="2"/>
      <c r="C17" s="2"/>
      <c r="D17" s="2"/>
      <c r="E17" s="2"/>
      <c r="F17" s="2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.75" hidden="false" customHeight="true" outlineLevel="0" collapsed="false">
      <c r="A18" s="20" t="str">
        <f aca="false">A12</f>
        <v>Product 1 at</v>
      </c>
      <c r="B18" s="373" t="n">
        <f aca="false">Inputs!F170</f>
        <v>3071.25</v>
      </c>
      <c r="C18" s="7" t="n">
        <f aca="false">$B18*C6</f>
        <v>307125</v>
      </c>
      <c r="D18" s="7" t="n">
        <f aca="false">$B18*D6</f>
        <v>460687.5</v>
      </c>
      <c r="E18" s="7" t="n">
        <f aca="false">$B18*E6</f>
        <v>614250</v>
      </c>
      <c r="F18" s="35" t="n">
        <f aca="false">$B18*F6</f>
        <v>767812.5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.75" hidden="false" customHeight="true" outlineLevel="0" collapsed="false">
      <c r="A19" s="20" t="str">
        <f aca="false">A13</f>
        <v>Product 2 at</v>
      </c>
      <c r="B19" s="373" t="n">
        <f aca="false">Inputs!F171</f>
        <v>32.0375</v>
      </c>
      <c r="C19" s="7" t="n">
        <f aca="false">$B19*C7</f>
        <v>4805.625</v>
      </c>
      <c r="D19" s="7" t="n">
        <f aca="false">$B19*D7</f>
        <v>6407.5</v>
      </c>
      <c r="E19" s="7" t="n">
        <f aca="false">$B19*E7</f>
        <v>8009.375</v>
      </c>
      <c r="F19" s="35" t="n">
        <f aca="false">$B19*F7</f>
        <v>9611.25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.75" hidden="false" customHeight="true" outlineLevel="0" collapsed="false">
      <c r="A20" s="20" t="str">
        <f aca="false">A14</f>
        <v>Product 3 at</v>
      </c>
      <c r="B20" s="373" t="n">
        <f aca="false">Inputs!F172</f>
        <v>0</v>
      </c>
      <c r="C20" s="70" t="n">
        <f aca="false">$B20*C8</f>
        <v>0</v>
      </c>
      <c r="D20" s="70" t="n">
        <f aca="false">$B20*D8</f>
        <v>0</v>
      </c>
      <c r="E20" s="70" t="n">
        <f aca="false">$B20*E8</f>
        <v>0</v>
      </c>
      <c r="F20" s="73" t="n">
        <f aca="false">$B20*F8</f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2.75" hidden="false" customHeight="true" outlineLevel="0" collapsed="false">
      <c r="A21" s="392" t="s">
        <v>230</v>
      </c>
      <c r="B21" s="2"/>
      <c r="C21" s="7" t="n">
        <f aca="false">SUM(C18:C20)</f>
        <v>311930.625</v>
      </c>
      <c r="D21" s="7" t="n">
        <f aca="false">SUM(D18:D20)</f>
        <v>467095</v>
      </c>
      <c r="E21" s="7" t="n">
        <f aca="false">SUM(E18:E20)</f>
        <v>622259.375</v>
      </c>
      <c r="F21" s="35" t="n">
        <f aca="false">SUM(F18:F20)</f>
        <v>777423.75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.75" hidden="false" customHeight="true" outlineLevel="0" collapsed="false">
      <c r="A22" s="56"/>
      <c r="B22" s="2"/>
      <c r="C22" s="2"/>
      <c r="D22" s="2"/>
      <c r="E22" s="2"/>
      <c r="F22" s="2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.75" hidden="false" customHeight="true" outlineLevel="0" collapsed="false">
      <c r="A23" s="185" t="s">
        <v>227</v>
      </c>
      <c r="B23" s="4" t="s">
        <v>228</v>
      </c>
      <c r="C23" s="2"/>
      <c r="D23" s="2"/>
      <c r="E23" s="2"/>
      <c r="F23" s="2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.75" hidden="false" customHeight="true" outlineLevel="0" collapsed="false">
      <c r="A24" s="20" t="str">
        <f aca="false">Inputs!B174&amp;"*"</f>
        <v>Sales and Marketing*</v>
      </c>
      <c r="B24" s="66" t="n">
        <f aca="false">Inputs!C174</f>
        <v>45</v>
      </c>
      <c r="C24" s="7" t="n">
        <f aca="false">C9*$B24+Inputs!D174</f>
        <v>21875</v>
      </c>
      <c r="D24" s="7" t="n">
        <f aca="false">D9*$B24</f>
        <v>23625</v>
      </c>
      <c r="E24" s="7" t="n">
        <f aca="false">E9*$B24</f>
        <v>30375</v>
      </c>
      <c r="F24" s="35" t="n">
        <f aca="false">F9*$B24</f>
        <v>37125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.75" hidden="false" customHeight="true" outlineLevel="0" collapsed="false">
      <c r="A25" s="20" t="str">
        <f aca="false">Inputs!B175</f>
        <v>General Administrative</v>
      </c>
      <c r="B25" s="66" t="n">
        <f aca="false">Inputs!C175</f>
        <v>45</v>
      </c>
      <c r="C25" s="7" t="n">
        <f aca="false">C10*$B25</f>
        <v>0</v>
      </c>
      <c r="D25" s="7" t="n">
        <f aca="false">D10*$B25</f>
        <v>0</v>
      </c>
      <c r="E25" s="7" t="n">
        <f aca="false">E10*$B25</f>
        <v>0</v>
      </c>
      <c r="F25" s="35" t="n">
        <f aca="false">F10*$B25</f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.75" hidden="false" customHeight="true" outlineLevel="0" collapsed="false">
      <c r="A26" s="20" t="str">
        <f aca="false">Inputs!B176</f>
        <v>Occupancy</v>
      </c>
      <c r="B26" s="66" t="n">
        <f aca="false">Inputs!C176</f>
        <v>45</v>
      </c>
      <c r="C26" s="7" t="n">
        <f aca="false">C11*$B26</f>
        <v>0</v>
      </c>
      <c r="D26" s="7" t="n">
        <f aca="false">D11*$B26</f>
        <v>0</v>
      </c>
      <c r="E26" s="7" t="n">
        <f aca="false">E11*$B26</f>
        <v>0</v>
      </c>
      <c r="F26" s="35" t="n">
        <f aca="false">F11*$B26</f>
        <v>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.75" hidden="false" customHeight="true" outlineLevel="0" collapsed="false">
      <c r="A27" s="392" t="s">
        <v>355</v>
      </c>
      <c r="B27" s="2"/>
      <c r="C27" s="7" t="n">
        <f aca="false">SUM(C24:C26)</f>
        <v>21875</v>
      </c>
      <c r="D27" s="7" t="n">
        <f aca="false">SUM(D24:D26)</f>
        <v>23625</v>
      </c>
      <c r="E27" s="7" t="n">
        <f aca="false">SUM(E24:E26)</f>
        <v>30375</v>
      </c>
      <c r="F27" s="35" t="n">
        <f aca="false">SUM(F24:F26)</f>
        <v>37125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.75" hidden="false" customHeight="true" outlineLevel="0" collapsed="false">
      <c r="A28" s="56"/>
      <c r="B28" s="2"/>
      <c r="C28" s="2"/>
      <c r="D28" s="2"/>
      <c r="E28" s="2"/>
      <c r="F28" s="2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2.75" hidden="false" customHeight="true" outlineLevel="0" collapsed="false">
      <c r="A29" s="185" t="s">
        <v>291</v>
      </c>
      <c r="B29" s="2"/>
      <c r="C29" s="62" t="n">
        <f aca="false">C15-C21-C27</f>
        <v>47936.875</v>
      </c>
      <c r="D29" s="62" t="n">
        <f aca="false">D15-D21-D27</f>
        <v>80770</v>
      </c>
      <c r="E29" s="62" t="n">
        <f aca="false">E15-E21-E27</f>
        <v>108603.125</v>
      </c>
      <c r="F29" s="487" t="n">
        <f aca="false">F15-F21-F27</f>
        <v>136436.25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2.75" hidden="false" customHeight="true" outlineLevel="0" collapsed="false">
      <c r="A30" s="56"/>
      <c r="B30" s="2"/>
      <c r="C30" s="2"/>
      <c r="D30" s="2"/>
      <c r="E30" s="2"/>
      <c r="F30" s="2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3.5" hidden="false" customHeight="true" outlineLevel="0" collapsed="false">
      <c r="A31" s="68" t="str">
        <f aca="false">"*An additional $"&amp;Inputs!D174&amp;" is included in year 1 for launch marketing."</f>
        <v>*An additional $5000 is included in year 1 for launch marketing.</v>
      </c>
      <c r="B31" s="86"/>
      <c r="C31" s="86"/>
      <c r="D31" s="86"/>
      <c r="E31" s="86"/>
      <c r="F31" s="6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29.71"/>
    <col collapsed="false" customWidth="true" hidden="false" outlineLevel="0" max="2" min="2" style="0" width="17.86"/>
    <col collapsed="false" customWidth="true" hidden="false" outlineLevel="0" max="6" min="3" style="0" width="14.57"/>
    <col collapsed="false" customWidth="true" hidden="false" outlineLevel="0" max="7" min="7" style="0" width="1.29"/>
    <col collapsed="false" customWidth="true" hidden="false" outlineLevel="0" max="8" min="8" style="0" width="28.3"/>
    <col collapsed="false" customWidth="true" hidden="false" outlineLevel="0" max="9" min="9" style="0" width="17.86"/>
    <col collapsed="false" customWidth="true" hidden="false" outlineLevel="0" max="11" min="10" style="0" width="13.86"/>
    <col collapsed="false" customWidth="true" hidden="false" outlineLevel="0" max="13" min="12" style="0" width="14.57"/>
    <col collapsed="false" customWidth="true" hidden="false" outlineLevel="0" max="14" min="14" style="0" width="1.58"/>
    <col collapsed="false" customWidth="true" hidden="false" outlineLevel="0" max="15" min="15" style="0" width="28.71"/>
    <col collapsed="false" customWidth="true" hidden="false" outlineLevel="0" max="16" min="16" style="0" width="17.86"/>
    <col collapsed="false" customWidth="true" hidden="false" outlineLevel="0" max="20" min="17" style="0" width="14.57"/>
    <col collapsed="false" customWidth="true" hidden="false" outlineLevel="0" max="21" min="21" style="0" width="1.43"/>
    <col collapsed="false" customWidth="true" hidden="false" outlineLevel="0" max="22" min="22" style="0" width="27.58"/>
    <col collapsed="false" customWidth="true" hidden="false" outlineLevel="0" max="23" min="23" style="0" width="18.29"/>
    <col collapsed="false" customWidth="true" hidden="false" outlineLevel="0" max="24" min="24" style="0" width="13.86"/>
    <col collapsed="false" customWidth="true" hidden="false" outlineLevel="0" max="27" min="25" style="0" width="14.57"/>
    <col collapsed="false" customWidth="true" hidden="false" outlineLevel="0" max="37" min="28" style="0" width="9"/>
    <col collapsed="false" customWidth="true" hidden="false" outlineLevel="0" max="1025" min="38" style="0" width="14.43"/>
  </cols>
  <sheetData>
    <row r="1" customFormat="false" ht="13.5" hidden="false" customHeight="true" outlineLevel="0" collapsed="false">
      <c r="A1" s="488" t="s">
        <v>356</v>
      </c>
      <c r="B1" s="488"/>
      <c r="C1" s="488"/>
      <c r="D1" s="488"/>
      <c r="E1" s="488"/>
      <c r="F1" s="488"/>
      <c r="G1" s="489"/>
      <c r="H1" s="488" t="s">
        <v>357</v>
      </c>
      <c r="I1" s="488"/>
      <c r="J1" s="488"/>
      <c r="K1" s="488"/>
      <c r="L1" s="488"/>
      <c r="M1" s="488"/>
      <c r="N1" s="489"/>
      <c r="O1" s="488" t="s">
        <v>358</v>
      </c>
      <c r="P1" s="488"/>
      <c r="Q1" s="488"/>
      <c r="R1" s="488"/>
      <c r="S1" s="488"/>
      <c r="T1" s="488"/>
      <c r="U1" s="489"/>
      <c r="V1" s="488" t="s">
        <v>359</v>
      </c>
      <c r="W1" s="488"/>
      <c r="X1" s="488"/>
      <c r="Y1" s="488"/>
      <c r="Z1" s="488"/>
      <c r="AA1" s="488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12.75" hidden="false" customHeight="true" outlineLevel="0" collapsed="false">
      <c r="A2" s="18" t="s">
        <v>360</v>
      </c>
      <c r="B2" s="18"/>
      <c r="C2" s="18"/>
      <c r="D2" s="18"/>
      <c r="E2" s="18"/>
      <c r="F2" s="18"/>
      <c r="G2" s="489"/>
      <c r="H2" s="18" t="str">
        <f aca="false">A2</f>
        <v>All Three Entities</v>
      </c>
      <c r="I2" s="18"/>
      <c r="J2" s="18"/>
      <c r="K2" s="18"/>
      <c r="L2" s="18"/>
      <c r="M2" s="18"/>
      <c r="N2" s="489"/>
      <c r="O2" s="18" t="str">
        <f aca="false">H2</f>
        <v>All Three Entities</v>
      </c>
      <c r="P2" s="18"/>
      <c r="Q2" s="18"/>
      <c r="R2" s="18"/>
      <c r="S2" s="18"/>
      <c r="T2" s="18"/>
      <c r="U2" s="489"/>
      <c r="V2" s="18" t="str">
        <f aca="false">O2</f>
        <v>All Three Entities</v>
      </c>
      <c r="W2" s="18"/>
      <c r="X2" s="18"/>
      <c r="Y2" s="18"/>
      <c r="Z2" s="18"/>
      <c r="AA2" s="18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customFormat="false" ht="12.75" hidden="false" customHeight="true" outlineLevel="0" collapsed="false">
      <c r="A3" s="29" t="s">
        <v>361</v>
      </c>
      <c r="B3" s="29"/>
      <c r="C3" s="29"/>
      <c r="D3" s="29"/>
      <c r="E3" s="29"/>
      <c r="F3" s="29"/>
      <c r="G3" s="489"/>
      <c r="H3" s="29" t="s">
        <v>361</v>
      </c>
      <c r="I3" s="29"/>
      <c r="J3" s="29"/>
      <c r="K3" s="29"/>
      <c r="L3" s="29"/>
      <c r="M3" s="29"/>
      <c r="N3" s="489"/>
      <c r="O3" s="29" t="s">
        <v>361</v>
      </c>
      <c r="P3" s="29"/>
      <c r="Q3" s="29"/>
      <c r="R3" s="29"/>
      <c r="S3" s="29"/>
      <c r="T3" s="29"/>
      <c r="U3" s="489"/>
      <c r="V3" s="29" t="s">
        <v>361</v>
      </c>
      <c r="W3" s="29"/>
      <c r="X3" s="29"/>
      <c r="Y3" s="29"/>
      <c r="Z3" s="29"/>
      <c r="AA3" s="29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Format="false" ht="12.75" hidden="false" customHeight="true" outlineLevel="0" collapsed="false">
      <c r="A4" s="56"/>
      <c r="B4" s="2"/>
      <c r="C4" s="2"/>
      <c r="D4" s="2"/>
      <c r="E4" s="2"/>
      <c r="F4" s="25"/>
      <c r="G4" s="489"/>
      <c r="H4" s="56"/>
      <c r="I4" s="2"/>
      <c r="J4" s="2"/>
      <c r="K4" s="2"/>
      <c r="L4" s="2"/>
      <c r="M4" s="25"/>
      <c r="N4" s="489"/>
      <c r="O4" s="56"/>
      <c r="P4" s="2"/>
      <c r="Q4" s="2"/>
      <c r="R4" s="2"/>
      <c r="S4" s="2"/>
      <c r="T4" s="25"/>
      <c r="U4" s="489"/>
      <c r="V4" s="56"/>
      <c r="W4" s="2"/>
      <c r="X4" s="2"/>
      <c r="Y4" s="2"/>
      <c r="Z4" s="2"/>
      <c r="AA4" s="25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Format="false" ht="12.75" hidden="false" customHeight="true" outlineLevel="0" collapsed="false">
      <c r="A5" s="185" t="s">
        <v>362</v>
      </c>
      <c r="B5" s="1"/>
      <c r="C5" s="1" t="s">
        <v>342</v>
      </c>
      <c r="D5" s="1" t="s">
        <v>343</v>
      </c>
      <c r="E5" s="1" t="s">
        <v>344</v>
      </c>
      <c r="F5" s="467" t="s">
        <v>345</v>
      </c>
      <c r="G5" s="490"/>
      <c r="H5" s="185" t="s">
        <v>362</v>
      </c>
      <c r="I5" s="1"/>
      <c r="J5" s="1" t="s">
        <v>342</v>
      </c>
      <c r="K5" s="1" t="s">
        <v>343</v>
      </c>
      <c r="L5" s="1" t="s">
        <v>344</v>
      </c>
      <c r="M5" s="467" t="s">
        <v>345</v>
      </c>
      <c r="N5" s="490"/>
      <c r="O5" s="185" t="s">
        <v>362</v>
      </c>
      <c r="P5" s="1"/>
      <c r="Q5" s="1" t="s">
        <v>342</v>
      </c>
      <c r="R5" s="1" t="s">
        <v>343</v>
      </c>
      <c r="S5" s="1" t="s">
        <v>344</v>
      </c>
      <c r="T5" s="467" t="s">
        <v>345</v>
      </c>
      <c r="U5" s="490"/>
      <c r="V5" s="185" t="s">
        <v>362</v>
      </c>
      <c r="W5" s="1"/>
      <c r="X5" s="1" t="s">
        <v>342</v>
      </c>
      <c r="Y5" s="1" t="s">
        <v>343</v>
      </c>
      <c r="Z5" s="1" t="s">
        <v>344</v>
      </c>
      <c r="AA5" s="467" t="s">
        <v>345</v>
      </c>
      <c r="AB5" s="1"/>
      <c r="AC5" s="1"/>
      <c r="AD5" s="1"/>
      <c r="AE5" s="1"/>
      <c r="AF5" s="1"/>
      <c r="AG5" s="1"/>
      <c r="AH5" s="1"/>
      <c r="AI5" s="1"/>
      <c r="AJ5" s="1"/>
      <c r="AK5" s="1"/>
    </row>
    <row r="6" customFormat="false" ht="12.75" hidden="false" customHeight="true" outlineLevel="0" collapsed="false">
      <c r="A6" s="20" t="s">
        <v>0</v>
      </c>
      <c r="B6" s="2"/>
      <c r="C6" s="2"/>
      <c r="D6" s="2"/>
      <c r="E6" s="2"/>
      <c r="F6" s="25"/>
      <c r="G6" s="489"/>
      <c r="H6" s="20" t="str">
        <f aca="false">A6</f>
        <v>Entity 1</v>
      </c>
      <c r="I6" s="2"/>
      <c r="J6" s="2"/>
      <c r="K6" s="2"/>
      <c r="L6" s="2"/>
      <c r="M6" s="25"/>
      <c r="N6" s="489"/>
      <c r="O6" s="20" t="str">
        <f aca="false">H6</f>
        <v>Entity 1</v>
      </c>
      <c r="P6" s="2"/>
      <c r="Q6" s="2"/>
      <c r="R6" s="2"/>
      <c r="S6" s="2"/>
      <c r="T6" s="25"/>
      <c r="U6" s="489"/>
      <c r="V6" s="20" t="str">
        <f aca="false">O6</f>
        <v>Entity 1</v>
      </c>
      <c r="W6" s="2"/>
      <c r="X6" s="2"/>
      <c r="Y6" s="2"/>
      <c r="Z6" s="2"/>
      <c r="AA6" s="25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Format="false" ht="12.75" hidden="false" customHeight="true" outlineLevel="0" collapsed="false">
      <c r="A7" s="56"/>
      <c r="B7" s="2" t="str">
        <f aca="false">'Entity 1 Outputs'!I7</f>
        <v>Brand 1</v>
      </c>
      <c r="C7" s="5" t="n">
        <f aca="false">'Entity 1 Outputs'!L7</f>
        <v>15000</v>
      </c>
      <c r="D7" s="5" t="n">
        <f aca="false">'Entity 1 Outputs'!M7</f>
        <v>21750</v>
      </c>
      <c r="E7" s="5" t="n">
        <f aca="false">'Entity 1 Outputs'!N7</f>
        <v>31537.5</v>
      </c>
      <c r="F7" s="230" t="n">
        <f aca="false">'Entity 1 Outputs'!O7</f>
        <v>45729.375</v>
      </c>
      <c r="G7" s="489"/>
      <c r="H7" s="56"/>
      <c r="I7" s="2" t="str">
        <f aca="false">B7</f>
        <v>Brand 1</v>
      </c>
      <c r="J7" s="5" t="n">
        <f aca="false">C7</f>
        <v>15000</v>
      </c>
      <c r="K7" s="5" t="n">
        <f aca="false">D7</f>
        <v>21750</v>
      </c>
      <c r="L7" s="5" t="n">
        <f aca="false">E7</f>
        <v>31537.5</v>
      </c>
      <c r="M7" s="230" t="n">
        <f aca="false">F7</f>
        <v>45729.375</v>
      </c>
      <c r="N7" s="489"/>
      <c r="O7" s="56"/>
      <c r="P7" s="2" t="str">
        <f aca="false">B7</f>
        <v>Brand 1</v>
      </c>
      <c r="Q7" s="5" t="n">
        <f aca="false">C7</f>
        <v>15000</v>
      </c>
      <c r="R7" s="5" t="n">
        <f aca="false">D7</f>
        <v>21750</v>
      </c>
      <c r="S7" s="5" t="n">
        <f aca="false">E7</f>
        <v>31537.5</v>
      </c>
      <c r="T7" s="230" t="n">
        <f aca="false">F7</f>
        <v>45729.375</v>
      </c>
      <c r="U7" s="489"/>
      <c r="V7" s="56"/>
      <c r="W7" s="2" t="str">
        <f aca="false">I7</f>
        <v>Brand 1</v>
      </c>
      <c r="X7" s="5" t="n">
        <f aca="false">J7</f>
        <v>15000</v>
      </c>
      <c r="Y7" s="5" t="n">
        <f aca="false">K7</f>
        <v>21750</v>
      </c>
      <c r="Z7" s="5" t="n">
        <f aca="false">L7</f>
        <v>31537.5</v>
      </c>
      <c r="AA7" s="230" t="n">
        <f aca="false">M7</f>
        <v>45729.375</v>
      </c>
      <c r="AB7" s="2"/>
      <c r="AC7" s="2"/>
      <c r="AD7" s="2"/>
      <c r="AE7" s="2"/>
      <c r="AF7" s="2"/>
      <c r="AG7" s="2"/>
      <c r="AH7" s="2"/>
      <c r="AI7" s="2"/>
      <c r="AJ7" s="2"/>
      <c r="AK7" s="2"/>
    </row>
    <row r="8" customFormat="false" ht="12.75" hidden="false" customHeight="true" outlineLevel="0" collapsed="false">
      <c r="A8" s="56"/>
      <c r="B8" s="2" t="str">
        <f aca="false">'Entity 1 Outputs'!I8</f>
        <v>Brand 2</v>
      </c>
      <c r="C8" s="5" t="n">
        <f aca="false">'Entity 1 Outputs'!L8</f>
        <v>10000</v>
      </c>
      <c r="D8" s="5" t="n">
        <f aca="false">'Entity 1 Outputs'!M8</f>
        <v>14500</v>
      </c>
      <c r="E8" s="5" t="n">
        <f aca="false">'Entity 1 Outputs'!N8</f>
        <v>21025</v>
      </c>
      <c r="F8" s="230" t="n">
        <f aca="false">'Entity 1 Outputs'!O8</f>
        <v>30486.25</v>
      </c>
      <c r="G8" s="489"/>
      <c r="H8" s="56"/>
      <c r="I8" s="2" t="str">
        <f aca="false">B8</f>
        <v>Brand 2</v>
      </c>
      <c r="J8" s="5" t="n">
        <f aca="false">C8</f>
        <v>10000</v>
      </c>
      <c r="K8" s="5" t="n">
        <f aca="false">D8</f>
        <v>14500</v>
      </c>
      <c r="L8" s="5" t="n">
        <f aca="false">E8</f>
        <v>21025</v>
      </c>
      <c r="M8" s="230" t="n">
        <f aca="false">F8</f>
        <v>30486.25</v>
      </c>
      <c r="N8" s="489"/>
      <c r="O8" s="56"/>
      <c r="P8" s="2" t="str">
        <f aca="false">B8</f>
        <v>Brand 2</v>
      </c>
      <c r="Q8" s="5" t="n">
        <f aca="false">C8</f>
        <v>10000</v>
      </c>
      <c r="R8" s="5" t="n">
        <f aca="false">D8</f>
        <v>14500</v>
      </c>
      <c r="S8" s="5" t="n">
        <f aca="false">E8</f>
        <v>21025</v>
      </c>
      <c r="T8" s="230" t="n">
        <f aca="false">F8</f>
        <v>30486.25</v>
      </c>
      <c r="U8" s="489"/>
      <c r="V8" s="56"/>
      <c r="W8" s="2" t="str">
        <f aca="false">I8</f>
        <v>Brand 2</v>
      </c>
      <c r="X8" s="5" t="n">
        <f aca="false">J8</f>
        <v>10000</v>
      </c>
      <c r="Y8" s="5" t="n">
        <f aca="false">K8</f>
        <v>14500</v>
      </c>
      <c r="Z8" s="5" t="n">
        <f aca="false">L8</f>
        <v>21025</v>
      </c>
      <c r="AA8" s="230" t="n">
        <f aca="false">M8</f>
        <v>30486.25</v>
      </c>
      <c r="AB8" s="2"/>
      <c r="AC8" s="2"/>
      <c r="AD8" s="2"/>
      <c r="AE8" s="2"/>
      <c r="AF8" s="2"/>
      <c r="AG8" s="2"/>
      <c r="AH8" s="2"/>
      <c r="AI8" s="2"/>
      <c r="AJ8" s="2"/>
      <c r="AK8" s="2"/>
    </row>
    <row r="9" customFormat="false" ht="12.75" hidden="false" customHeight="true" outlineLevel="0" collapsed="false">
      <c r="A9" s="56"/>
      <c r="B9" s="2" t="str">
        <f aca="false">'Entity 1 Outputs'!I9</f>
        <v>Brand 3</v>
      </c>
      <c r="C9" s="5" t="n">
        <f aca="false">'Entity 1 Outputs'!L9</f>
        <v>5000</v>
      </c>
      <c r="D9" s="5" t="n">
        <f aca="false">'Entity 1 Outputs'!M9</f>
        <v>7250</v>
      </c>
      <c r="E9" s="5" t="n">
        <f aca="false">'Entity 1 Outputs'!N9</f>
        <v>10512.5</v>
      </c>
      <c r="F9" s="230" t="n">
        <f aca="false">'Entity 1 Outputs'!O9</f>
        <v>15243.125</v>
      </c>
      <c r="G9" s="489"/>
      <c r="H9" s="56"/>
      <c r="I9" s="2" t="str">
        <f aca="false">B9</f>
        <v>Brand 3</v>
      </c>
      <c r="J9" s="5" t="n">
        <f aca="false">C9</f>
        <v>5000</v>
      </c>
      <c r="K9" s="5" t="n">
        <f aca="false">D9</f>
        <v>7250</v>
      </c>
      <c r="L9" s="5" t="n">
        <f aca="false">E9</f>
        <v>10512.5</v>
      </c>
      <c r="M9" s="230" t="n">
        <f aca="false">F9</f>
        <v>15243.125</v>
      </c>
      <c r="N9" s="489"/>
      <c r="O9" s="56"/>
      <c r="P9" s="2" t="str">
        <f aca="false">B9</f>
        <v>Brand 3</v>
      </c>
      <c r="Q9" s="5" t="n">
        <f aca="false">C9</f>
        <v>5000</v>
      </c>
      <c r="R9" s="5" t="n">
        <f aca="false">D9</f>
        <v>7250</v>
      </c>
      <c r="S9" s="5" t="n">
        <f aca="false">E9</f>
        <v>10512.5</v>
      </c>
      <c r="T9" s="230" t="n">
        <f aca="false">F9</f>
        <v>15243.125</v>
      </c>
      <c r="U9" s="489"/>
      <c r="V9" s="56"/>
      <c r="W9" s="2" t="str">
        <f aca="false">I9</f>
        <v>Brand 3</v>
      </c>
      <c r="X9" s="5" t="n">
        <f aca="false">J9</f>
        <v>5000</v>
      </c>
      <c r="Y9" s="5" t="n">
        <f aca="false">K9</f>
        <v>7250</v>
      </c>
      <c r="Z9" s="5" t="n">
        <f aca="false">L9</f>
        <v>10512.5</v>
      </c>
      <c r="AA9" s="230" t="n">
        <f aca="false">M9</f>
        <v>15243.125</v>
      </c>
      <c r="AB9" s="2"/>
      <c r="AC9" s="2"/>
      <c r="AD9" s="2"/>
      <c r="AE9" s="2"/>
      <c r="AF9" s="2"/>
      <c r="AG9" s="2"/>
      <c r="AH9" s="2"/>
      <c r="AI9" s="2"/>
      <c r="AJ9" s="2"/>
      <c r="AK9" s="2"/>
    </row>
    <row r="10" customFormat="false" ht="12.75" hidden="false" customHeight="true" outlineLevel="0" collapsed="false">
      <c r="A10" s="56"/>
      <c r="B10" s="2" t="str">
        <f aca="false">'Entity 1 Outputs'!I10</f>
        <v>Brand 4</v>
      </c>
      <c r="C10" s="5" t="n">
        <f aca="false">'Entity 1 Outputs'!L10</f>
        <v>5000</v>
      </c>
      <c r="D10" s="5" t="n">
        <f aca="false">'Entity 1 Outputs'!M10</f>
        <v>7250</v>
      </c>
      <c r="E10" s="5" t="n">
        <f aca="false">'Entity 1 Outputs'!N10</f>
        <v>10512.5</v>
      </c>
      <c r="F10" s="230" t="n">
        <f aca="false">'Entity 1 Outputs'!O10</f>
        <v>15243.125</v>
      </c>
      <c r="G10" s="489"/>
      <c r="H10" s="56"/>
      <c r="I10" s="2" t="str">
        <f aca="false">B10</f>
        <v>Brand 4</v>
      </c>
      <c r="J10" s="5" t="n">
        <f aca="false">C10</f>
        <v>5000</v>
      </c>
      <c r="K10" s="5" t="n">
        <f aca="false">D10</f>
        <v>7250</v>
      </c>
      <c r="L10" s="5" t="n">
        <f aca="false">E10</f>
        <v>10512.5</v>
      </c>
      <c r="M10" s="230" t="n">
        <f aca="false">F10</f>
        <v>15243.125</v>
      </c>
      <c r="N10" s="489"/>
      <c r="O10" s="56"/>
      <c r="P10" s="2" t="str">
        <f aca="false">B10</f>
        <v>Brand 4</v>
      </c>
      <c r="Q10" s="5" t="n">
        <f aca="false">C10</f>
        <v>5000</v>
      </c>
      <c r="R10" s="5" t="n">
        <f aca="false">D10</f>
        <v>7250</v>
      </c>
      <c r="S10" s="5" t="n">
        <f aca="false">E10</f>
        <v>10512.5</v>
      </c>
      <c r="T10" s="230" t="n">
        <f aca="false">F10</f>
        <v>15243.125</v>
      </c>
      <c r="U10" s="489"/>
      <c r="V10" s="56"/>
      <c r="W10" s="2" t="str">
        <f aca="false">I10</f>
        <v>Brand 4</v>
      </c>
      <c r="X10" s="5" t="n">
        <f aca="false">J10</f>
        <v>5000</v>
      </c>
      <c r="Y10" s="5" t="n">
        <f aca="false">K10</f>
        <v>7250</v>
      </c>
      <c r="Z10" s="5" t="n">
        <f aca="false">L10</f>
        <v>10512.5</v>
      </c>
      <c r="AA10" s="230" t="n">
        <f aca="false">M10</f>
        <v>15243.125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customFormat="false" ht="12.75" hidden="false" customHeight="true" outlineLevel="0" collapsed="false">
      <c r="A11" s="56"/>
      <c r="B11" s="2" t="str">
        <f aca="false">'Entity 1 Outputs'!I11</f>
        <v>Brand 5</v>
      </c>
      <c r="C11" s="5" t="n">
        <f aca="false">'Entity 1 Outputs'!L11</f>
        <v>5000</v>
      </c>
      <c r="D11" s="5" t="n">
        <f aca="false">'Entity 1 Outputs'!M11</f>
        <v>7250</v>
      </c>
      <c r="E11" s="5" t="n">
        <f aca="false">'Entity 1 Outputs'!N11</f>
        <v>10512.5</v>
      </c>
      <c r="F11" s="230" t="n">
        <f aca="false">'Entity 1 Outputs'!O11</f>
        <v>15243.125</v>
      </c>
      <c r="G11" s="489"/>
      <c r="H11" s="56"/>
      <c r="I11" s="2" t="str">
        <f aca="false">B11</f>
        <v>Brand 5</v>
      </c>
      <c r="J11" s="5" t="n">
        <f aca="false">C11</f>
        <v>5000</v>
      </c>
      <c r="K11" s="5" t="n">
        <f aca="false">D11</f>
        <v>7250</v>
      </c>
      <c r="L11" s="5" t="n">
        <f aca="false">E11</f>
        <v>10512.5</v>
      </c>
      <c r="M11" s="230" t="n">
        <f aca="false">F11</f>
        <v>15243.125</v>
      </c>
      <c r="N11" s="489"/>
      <c r="O11" s="56"/>
      <c r="P11" s="2" t="str">
        <f aca="false">B11</f>
        <v>Brand 5</v>
      </c>
      <c r="Q11" s="5" t="n">
        <f aca="false">C11</f>
        <v>5000</v>
      </c>
      <c r="R11" s="5" t="n">
        <f aca="false">D11</f>
        <v>7250</v>
      </c>
      <c r="S11" s="5" t="n">
        <f aca="false">E11</f>
        <v>10512.5</v>
      </c>
      <c r="T11" s="230" t="n">
        <f aca="false">F11</f>
        <v>15243.125</v>
      </c>
      <c r="U11" s="489"/>
      <c r="V11" s="56"/>
      <c r="W11" s="2" t="str">
        <f aca="false">I11</f>
        <v>Brand 5</v>
      </c>
      <c r="X11" s="5" t="n">
        <f aca="false">J11</f>
        <v>5000</v>
      </c>
      <c r="Y11" s="5" t="n">
        <f aca="false">K11</f>
        <v>7250</v>
      </c>
      <c r="Z11" s="5" t="n">
        <f aca="false">L11</f>
        <v>10512.5</v>
      </c>
      <c r="AA11" s="230" t="n">
        <f aca="false">M11</f>
        <v>15243.125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customFormat="false" ht="12.75" hidden="false" customHeight="true" outlineLevel="0" collapsed="false">
      <c r="A12" s="56"/>
      <c r="B12" s="2" t="str">
        <f aca="false">'Entity 1 Outputs'!I12</f>
        <v>Brand 6</v>
      </c>
      <c r="C12" s="5" t="n">
        <f aca="false">'Entity 1 Outputs'!L12</f>
        <v>5000</v>
      </c>
      <c r="D12" s="5" t="n">
        <f aca="false">'Entity 1 Outputs'!M12</f>
        <v>7250</v>
      </c>
      <c r="E12" s="5" t="n">
        <f aca="false">'Entity 1 Outputs'!N12</f>
        <v>10512.5</v>
      </c>
      <c r="F12" s="230" t="n">
        <f aca="false">'Entity 1 Outputs'!O12</f>
        <v>15243.125</v>
      </c>
      <c r="G12" s="489"/>
      <c r="H12" s="56"/>
      <c r="I12" s="2" t="str">
        <f aca="false">B12</f>
        <v>Brand 6</v>
      </c>
      <c r="J12" s="5" t="n">
        <f aca="false">C12</f>
        <v>5000</v>
      </c>
      <c r="K12" s="5" t="n">
        <f aca="false">D12</f>
        <v>7250</v>
      </c>
      <c r="L12" s="5" t="n">
        <f aca="false">E12</f>
        <v>10512.5</v>
      </c>
      <c r="M12" s="230" t="n">
        <f aca="false">F12</f>
        <v>15243.125</v>
      </c>
      <c r="N12" s="489"/>
      <c r="O12" s="56"/>
      <c r="P12" s="2" t="str">
        <f aca="false">B12</f>
        <v>Brand 6</v>
      </c>
      <c r="Q12" s="5" t="n">
        <f aca="false">C12</f>
        <v>5000</v>
      </c>
      <c r="R12" s="5" t="n">
        <f aca="false">D12</f>
        <v>7250</v>
      </c>
      <c r="S12" s="5" t="n">
        <f aca="false">E12</f>
        <v>10512.5</v>
      </c>
      <c r="T12" s="230" t="n">
        <f aca="false">F12</f>
        <v>15243.125</v>
      </c>
      <c r="U12" s="489"/>
      <c r="V12" s="56"/>
      <c r="W12" s="2" t="str">
        <f aca="false">I12</f>
        <v>Brand 6</v>
      </c>
      <c r="X12" s="5" t="n">
        <f aca="false">J12</f>
        <v>5000</v>
      </c>
      <c r="Y12" s="5" t="n">
        <f aca="false">K12</f>
        <v>7250</v>
      </c>
      <c r="Z12" s="5" t="n">
        <f aca="false">L12</f>
        <v>10512.5</v>
      </c>
      <c r="AA12" s="230" t="n">
        <f aca="false">M12</f>
        <v>15243.125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customFormat="false" ht="12.75" hidden="false" customHeight="true" outlineLevel="0" collapsed="false">
      <c r="A13" s="56"/>
      <c r="B13" s="2" t="str">
        <f aca="false">'Entity 1 Outputs'!I13</f>
        <v>Brand 7</v>
      </c>
      <c r="C13" s="5" t="n">
        <f aca="false">'Entity 1 Outputs'!L13</f>
        <v>869.18</v>
      </c>
      <c r="D13" s="5" t="n">
        <f aca="false">'Entity 1 Outputs'!M13</f>
        <v>1260.311</v>
      </c>
      <c r="E13" s="5" t="n">
        <f aca="false">'Entity 1 Outputs'!N13</f>
        <v>1827.45095</v>
      </c>
      <c r="F13" s="230" t="n">
        <f aca="false">'Entity 1 Outputs'!O13</f>
        <v>2649.803878</v>
      </c>
      <c r="G13" s="489"/>
      <c r="H13" s="56"/>
      <c r="I13" s="2" t="str">
        <f aca="false">B13</f>
        <v>Brand 7</v>
      </c>
      <c r="J13" s="5" t="n">
        <f aca="false">C13</f>
        <v>869.18</v>
      </c>
      <c r="K13" s="5" t="n">
        <f aca="false">D13</f>
        <v>1260.311</v>
      </c>
      <c r="L13" s="5" t="n">
        <f aca="false">E13</f>
        <v>1827.45095</v>
      </c>
      <c r="M13" s="230" t="n">
        <f aca="false">F13</f>
        <v>2649.803878</v>
      </c>
      <c r="N13" s="489"/>
      <c r="O13" s="56"/>
      <c r="P13" s="2" t="str">
        <f aca="false">B13</f>
        <v>Brand 7</v>
      </c>
      <c r="Q13" s="5" t="n">
        <f aca="false">C13</f>
        <v>869.18</v>
      </c>
      <c r="R13" s="5" t="n">
        <f aca="false">D13</f>
        <v>1260.311</v>
      </c>
      <c r="S13" s="5" t="n">
        <f aca="false">E13</f>
        <v>1827.45095</v>
      </c>
      <c r="T13" s="230" t="n">
        <f aca="false">F13</f>
        <v>2649.803878</v>
      </c>
      <c r="U13" s="489"/>
      <c r="V13" s="56"/>
      <c r="W13" s="2" t="str">
        <f aca="false">I13</f>
        <v>Brand 7</v>
      </c>
      <c r="X13" s="5" t="n">
        <f aca="false">J13</f>
        <v>869.18</v>
      </c>
      <c r="Y13" s="5" t="n">
        <f aca="false">K13</f>
        <v>1260.311</v>
      </c>
      <c r="Z13" s="5" t="n">
        <f aca="false">L13</f>
        <v>1827.45095</v>
      </c>
      <c r="AA13" s="230" t="n">
        <f aca="false">M13</f>
        <v>2649.803878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customFormat="false" ht="12.75" hidden="false" customHeight="true" outlineLevel="0" collapsed="false">
      <c r="A14" s="56"/>
      <c r="B14" s="2" t="str">
        <f aca="false">'Entity 1 Outputs'!I14</f>
        <v>Brand 8</v>
      </c>
      <c r="C14" s="5" t="n">
        <f aca="false">'Entity 1 Outputs'!L14</f>
        <v>5000</v>
      </c>
      <c r="D14" s="5" t="n">
        <f aca="false">'Entity 1 Outputs'!M14</f>
        <v>7250</v>
      </c>
      <c r="E14" s="5" t="n">
        <f aca="false">'Entity 1 Outputs'!N14</f>
        <v>10512.5</v>
      </c>
      <c r="F14" s="230" t="n">
        <f aca="false">'Entity 1 Outputs'!O14</f>
        <v>15243.125</v>
      </c>
      <c r="G14" s="489"/>
      <c r="H14" s="56"/>
      <c r="I14" s="2" t="str">
        <f aca="false">B14</f>
        <v>Brand 8</v>
      </c>
      <c r="J14" s="5" t="n">
        <f aca="false">C14</f>
        <v>5000</v>
      </c>
      <c r="K14" s="5" t="n">
        <f aca="false">D14</f>
        <v>7250</v>
      </c>
      <c r="L14" s="5" t="n">
        <f aca="false">E14</f>
        <v>10512.5</v>
      </c>
      <c r="M14" s="230" t="n">
        <f aca="false">F14</f>
        <v>15243.125</v>
      </c>
      <c r="N14" s="489"/>
      <c r="O14" s="56"/>
      <c r="P14" s="2" t="str">
        <f aca="false">B14</f>
        <v>Brand 8</v>
      </c>
      <c r="Q14" s="5" t="n">
        <f aca="false">C14</f>
        <v>5000</v>
      </c>
      <c r="R14" s="5" t="n">
        <f aca="false">D14</f>
        <v>7250</v>
      </c>
      <c r="S14" s="5" t="n">
        <f aca="false">E14</f>
        <v>10512.5</v>
      </c>
      <c r="T14" s="230" t="n">
        <f aca="false">F14</f>
        <v>15243.125</v>
      </c>
      <c r="U14" s="489"/>
      <c r="V14" s="56"/>
      <c r="W14" s="2" t="str">
        <f aca="false">I14</f>
        <v>Brand 8</v>
      </c>
      <c r="X14" s="5" t="n">
        <f aca="false">J14</f>
        <v>5000</v>
      </c>
      <c r="Y14" s="5" t="n">
        <f aca="false">K14</f>
        <v>7250</v>
      </c>
      <c r="Z14" s="5" t="n">
        <f aca="false">L14</f>
        <v>10512.5</v>
      </c>
      <c r="AA14" s="230" t="n">
        <f aca="false">M14</f>
        <v>15243.125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customFormat="false" ht="12.75" hidden="false" customHeight="true" outlineLevel="0" collapsed="false">
      <c r="A15" s="56"/>
      <c r="B15" s="2" t="str">
        <f aca="false">'Entity 1 Outputs'!I15</f>
        <v>Brand 9</v>
      </c>
      <c r="C15" s="72" t="n">
        <f aca="false">'Entity 1 Outputs'!L15</f>
        <v>5000</v>
      </c>
      <c r="D15" s="72" t="n">
        <f aca="false">'Entity 1 Outputs'!M15</f>
        <v>7250</v>
      </c>
      <c r="E15" s="72" t="n">
        <f aca="false">'Entity 1 Outputs'!N15</f>
        <v>10512.5</v>
      </c>
      <c r="F15" s="283" t="n">
        <f aca="false">'Entity 1 Outputs'!O15</f>
        <v>15243.125</v>
      </c>
      <c r="G15" s="489"/>
      <c r="H15" s="56"/>
      <c r="I15" s="2" t="str">
        <f aca="false">B15</f>
        <v>Brand 9</v>
      </c>
      <c r="J15" s="72" t="n">
        <f aca="false">C15</f>
        <v>5000</v>
      </c>
      <c r="K15" s="72" t="n">
        <f aca="false">D15</f>
        <v>7250</v>
      </c>
      <c r="L15" s="72" t="n">
        <f aca="false">E15</f>
        <v>10512.5</v>
      </c>
      <c r="M15" s="283" t="n">
        <f aca="false">F15</f>
        <v>15243.125</v>
      </c>
      <c r="N15" s="489"/>
      <c r="O15" s="56"/>
      <c r="P15" s="2" t="str">
        <f aca="false">B15</f>
        <v>Brand 9</v>
      </c>
      <c r="Q15" s="72" t="n">
        <f aca="false">C15</f>
        <v>5000</v>
      </c>
      <c r="R15" s="72" t="n">
        <f aca="false">D15</f>
        <v>7250</v>
      </c>
      <c r="S15" s="72" t="n">
        <f aca="false">E15</f>
        <v>10512.5</v>
      </c>
      <c r="T15" s="283" t="n">
        <f aca="false">F15</f>
        <v>15243.125</v>
      </c>
      <c r="U15" s="489"/>
      <c r="V15" s="56"/>
      <c r="W15" s="2" t="str">
        <f aca="false">I15</f>
        <v>Brand 9</v>
      </c>
      <c r="X15" s="72" t="n">
        <f aca="false">J15</f>
        <v>5000</v>
      </c>
      <c r="Y15" s="72" t="n">
        <f aca="false">K15</f>
        <v>7250</v>
      </c>
      <c r="Z15" s="72" t="n">
        <f aca="false">L15</f>
        <v>10512.5</v>
      </c>
      <c r="AA15" s="283" t="n">
        <f aca="false">M15</f>
        <v>15243.125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customFormat="false" ht="12.75" hidden="false" customHeight="true" outlineLevel="0" collapsed="false">
      <c r="A16" s="56"/>
      <c r="B16" s="491" t="s">
        <v>77</v>
      </c>
      <c r="C16" s="492" t="n">
        <f aca="false">'Entity 1 Outputs'!L16</f>
        <v>55870</v>
      </c>
      <c r="D16" s="492" t="n">
        <f aca="false">'Entity 1 Outputs'!M16</f>
        <v>81010.311</v>
      </c>
      <c r="E16" s="492" t="n">
        <f aca="false">'Entity 1 Outputs'!N16</f>
        <v>117464.951</v>
      </c>
      <c r="F16" s="493" t="n">
        <f aca="false">'Entity 1 Outputs'!O16</f>
        <v>170324.1789</v>
      </c>
      <c r="G16" s="489"/>
      <c r="H16" s="56"/>
      <c r="I16" s="491" t="str">
        <f aca="false">B16</f>
        <v>Total</v>
      </c>
      <c r="J16" s="492" t="n">
        <f aca="false">C16</f>
        <v>55870</v>
      </c>
      <c r="K16" s="492" t="n">
        <f aca="false">D16</f>
        <v>81010.311</v>
      </c>
      <c r="L16" s="492" t="n">
        <f aca="false">E16</f>
        <v>117464.951</v>
      </c>
      <c r="M16" s="493" t="n">
        <f aca="false">F16</f>
        <v>170324.1789</v>
      </c>
      <c r="N16" s="489"/>
      <c r="O16" s="56"/>
      <c r="P16" s="491" t="str">
        <f aca="false">B16</f>
        <v>Total</v>
      </c>
      <c r="Q16" s="492" t="n">
        <f aca="false">C16</f>
        <v>55870</v>
      </c>
      <c r="R16" s="492" t="n">
        <f aca="false">D16</f>
        <v>81010.311</v>
      </c>
      <c r="S16" s="492" t="n">
        <f aca="false">E16</f>
        <v>117464.951</v>
      </c>
      <c r="T16" s="493" t="n">
        <f aca="false">F16</f>
        <v>170324.1789</v>
      </c>
      <c r="U16" s="489"/>
      <c r="V16" s="56"/>
      <c r="W16" s="491" t="str">
        <f aca="false">I16</f>
        <v>Total</v>
      </c>
      <c r="X16" s="492" t="n">
        <f aca="false">J16</f>
        <v>55870</v>
      </c>
      <c r="Y16" s="492" t="n">
        <f aca="false">K16</f>
        <v>81010.311</v>
      </c>
      <c r="Z16" s="492" t="n">
        <f aca="false">L16</f>
        <v>117464.951</v>
      </c>
      <c r="AA16" s="493" t="n">
        <f aca="false">M16</f>
        <v>170324.1789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customFormat="false" ht="12.75" hidden="false" customHeight="true" outlineLevel="0" collapsed="false">
      <c r="A17" s="56"/>
      <c r="B17" s="2"/>
      <c r="C17" s="2"/>
      <c r="D17" s="2"/>
      <c r="E17" s="2"/>
      <c r="F17" s="25"/>
      <c r="G17" s="489"/>
      <c r="H17" s="56"/>
      <c r="I17" s="2"/>
      <c r="J17" s="2"/>
      <c r="K17" s="2"/>
      <c r="L17" s="2"/>
      <c r="M17" s="25"/>
      <c r="N17" s="489"/>
      <c r="O17" s="56"/>
      <c r="P17" s="2"/>
      <c r="Q17" s="2"/>
      <c r="R17" s="2"/>
      <c r="S17" s="2"/>
      <c r="T17" s="25"/>
      <c r="U17" s="489"/>
      <c r="V17" s="56"/>
      <c r="W17" s="2"/>
      <c r="X17" s="2"/>
      <c r="Y17" s="2"/>
      <c r="Z17" s="2"/>
      <c r="AA17" s="25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customFormat="false" ht="12.75" hidden="false" customHeight="true" outlineLevel="0" collapsed="false">
      <c r="A18" s="20" t="s">
        <v>179</v>
      </c>
      <c r="B18" s="2"/>
      <c r="C18" s="2"/>
      <c r="D18" s="2"/>
      <c r="E18" s="2"/>
      <c r="F18" s="25"/>
      <c r="G18" s="489"/>
      <c r="H18" s="20" t="str">
        <f aca="false">A18</f>
        <v>Entity 2</v>
      </c>
      <c r="I18" s="2"/>
      <c r="J18" s="2"/>
      <c r="K18" s="2"/>
      <c r="L18" s="2"/>
      <c r="M18" s="25"/>
      <c r="N18" s="489"/>
      <c r="O18" s="20" t="str">
        <f aca="false">H18</f>
        <v>Entity 2</v>
      </c>
      <c r="P18" s="2"/>
      <c r="Q18" s="2"/>
      <c r="R18" s="2"/>
      <c r="S18" s="2"/>
      <c r="T18" s="25"/>
      <c r="U18" s="489"/>
      <c r="V18" s="20" t="str">
        <f aca="false">O18</f>
        <v>Entity 2</v>
      </c>
      <c r="W18" s="2"/>
      <c r="X18" s="2"/>
      <c r="Y18" s="2"/>
      <c r="Z18" s="2"/>
      <c r="AA18" s="25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customFormat="false" ht="12.75" hidden="false" customHeight="true" outlineLevel="0" collapsed="false">
      <c r="A19" s="56"/>
      <c r="B19" s="2" t="str">
        <f aca="false">'Entity 2 Out'!A7</f>
        <v>Product 1</v>
      </c>
      <c r="C19" s="5" t="n">
        <f aca="false">'Entity 2 Out'!D7</f>
        <v>2133333.333</v>
      </c>
      <c r="D19" s="5" t="n">
        <f aca="false">'Entity 2 Out'!E7</f>
        <v>2240000</v>
      </c>
      <c r="E19" s="5" t="n">
        <f aca="false">'Entity 2 Out'!F7</f>
        <v>2352000</v>
      </c>
      <c r="F19" s="230" t="n">
        <f aca="false">'Entity 2 Out'!G7</f>
        <v>2469600</v>
      </c>
      <c r="G19" s="489"/>
      <c r="H19" s="56"/>
      <c r="I19" s="2" t="str">
        <f aca="false">B19</f>
        <v>Product 1</v>
      </c>
      <c r="J19" s="5" t="n">
        <f aca="false">C19</f>
        <v>2133333.333</v>
      </c>
      <c r="K19" s="5" t="n">
        <f aca="false">D19</f>
        <v>2240000</v>
      </c>
      <c r="L19" s="5" t="n">
        <f aca="false">E19</f>
        <v>2352000</v>
      </c>
      <c r="M19" s="230" t="n">
        <f aca="false">F19</f>
        <v>2469600</v>
      </c>
      <c r="N19" s="489"/>
      <c r="O19" s="56"/>
      <c r="P19" s="2" t="str">
        <f aca="false">B19</f>
        <v>Product 1</v>
      </c>
      <c r="Q19" s="5" t="n">
        <f aca="false">C19</f>
        <v>2133333.333</v>
      </c>
      <c r="R19" s="5" t="n">
        <f aca="false">D19</f>
        <v>2240000</v>
      </c>
      <c r="S19" s="5" t="n">
        <f aca="false">E19</f>
        <v>2352000</v>
      </c>
      <c r="T19" s="230" t="n">
        <f aca="false">F19</f>
        <v>2469600</v>
      </c>
      <c r="U19" s="489"/>
      <c r="V19" s="56"/>
      <c r="W19" s="2" t="str">
        <f aca="false">I19</f>
        <v>Product 1</v>
      </c>
      <c r="X19" s="5" t="n">
        <f aca="false">J19</f>
        <v>2133333.333</v>
      </c>
      <c r="Y19" s="5" t="n">
        <f aca="false">K19</f>
        <v>2240000</v>
      </c>
      <c r="Z19" s="5" t="n">
        <f aca="false">L19</f>
        <v>2352000</v>
      </c>
      <c r="AA19" s="230" t="n">
        <f aca="false">M19</f>
        <v>2469600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customFormat="false" ht="12.75" hidden="false" customHeight="true" outlineLevel="0" collapsed="false">
      <c r="A20" s="56"/>
      <c r="B20" s="2" t="str">
        <f aca="false">'Entity 2 Out'!A8</f>
        <v>Product 2</v>
      </c>
      <c r="C20" s="5" t="n">
        <f aca="false">'Entity 2 Out'!D8</f>
        <v>266666.6667</v>
      </c>
      <c r="D20" s="5" t="n">
        <f aca="false">'Entity 2 Out'!E8</f>
        <v>280000</v>
      </c>
      <c r="E20" s="5" t="n">
        <f aca="false">'Entity 2 Out'!F8</f>
        <v>294000</v>
      </c>
      <c r="F20" s="230" t="n">
        <f aca="false">'Entity 2 Out'!G8</f>
        <v>308700</v>
      </c>
      <c r="G20" s="489"/>
      <c r="H20" s="56"/>
      <c r="I20" s="2" t="str">
        <f aca="false">B20</f>
        <v>Product 2</v>
      </c>
      <c r="J20" s="5" t="n">
        <f aca="false">C20</f>
        <v>266666.6667</v>
      </c>
      <c r="K20" s="5" t="n">
        <f aca="false">D20</f>
        <v>280000</v>
      </c>
      <c r="L20" s="5" t="n">
        <f aca="false">E20</f>
        <v>294000</v>
      </c>
      <c r="M20" s="230" t="n">
        <f aca="false">F20</f>
        <v>308700</v>
      </c>
      <c r="N20" s="489"/>
      <c r="O20" s="56"/>
      <c r="P20" s="2" t="str">
        <f aca="false">B20</f>
        <v>Product 2</v>
      </c>
      <c r="Q20" s="5" t="n">
        <f aca="false">C20</f>
        <v>266666.6667</v>
      </c>
      <c r="R20" s="5" t="n">
        <f aca="false">D20</f>
        <v>280000</v>
      </c>
      <c r="S20" s="5" t="n">
        <f aca="false">E20</f>
        <v>294000</v>
      </c>
      <c r="T20" s="230" t="n">
        <f aca="false">F20</f>
        <v>308700</v>
      </c>
      <c r="U20" s="489"/>
      <c r="V20" s="56"/>
      <c r="W20" s="2" t="str">
        <f aca="false">I20</f>
        <v>Product 2</v>
      </c>
      <c r="X20" s="5" t="n">
        <f aca="false">J20</f>
        <v>266666.6667</v>
      </c>
      <c r="Y20" s="5" t="n">
        <f aca="false">K20</f>
        <v>280000</v>
      </c>
      <c r="Z20" s="5" t="n">
        <f aca="false">L20</f>
        <v>294000</v>
      </c>
      <c r="AA20" s="230" t="n">
        <f aca="false">M20</f>
        <v>308700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customFormat="false" ht="12.75" hidden="false" customHeight="true" outlineLevel="0" collapsed="false">
      <c r="A21" s="56"/>
      <c r="B21" s="2" t="str">
        <f aca="false">'Entity 2 Out'!A9</f>
        <v>Product 3</v>
      </c>
      <c r="C21" s="5" t="n">
        <f aca="false">'Entity 2 Out'!D9</f>
        <v>266666.6667</v>
      </c>
      <c r="D21" s="5" t="n">
        <f aca="false">'Entity 2 Out'!E9</f>
        <v>280000</v>
      </c>
      <c r="E21" s="5" t="n">
        <f aca="false">'Entity 2 Out'!F9</f>
        <v>294000</v>
      </c>
      <c r="F21" s="230" t="n">
        <f aca="false">'Entity 2 Out'!G9</f>
        <v>308700</v>
      </c>
      <c r="G21" s="489"/>
      <c r="H21" s="56"/>
      <c r="I21" s="2" t="str">
        <f aca="false">B21</f>
        <v>Product 3</v>
      </c>
      <c r="J21" s="5" t="n">
        <f aca="false">C21</f>
        <v>266666.6667</v>
      </c>
      <c r="K21" s="5" t="n">
        <f aca="false">D21</f>
        <v>280000</v>
      </c>
      <c r="L21" s="5" t="n">
        <f aca="false">E21</f>
        <v>294000</v>
      </c>
      <c r="M21" s="230" t="n">
        <f aca="false">F21</f>
        <v>308700</v>
      </c>
      <c r="N21" s="489"/>
      <c r="O21" s="56"/>
      <c r="P21" s="2" t="str">
        <f aca="false">B21</f>
        <v>Product 3</v>
      </c>
      <c r="Q21" s="5" t="n">
        <f aca="false">C21</f>
        <v>266666.6667</v>
      </c>
      <c r="R21" s="5" t="n">
        <f aca="false">D21</f>
        <v>280000</v>
      </c>
      <c r="S21" s="5" t="n">
        <f aca="false">E21</f>
        <v>294000</v>
      </c>
      <c r="T21" s="230" t="n">
        <f aca="false">F21</f>
        <v>308700</v>
      </c>
      <c r="U21" s="489"/>
      <c r="V21" s="56"/>
      <c r="W21" s="2" t="str">
        <f aca="false">I21</f>
        <v>Product 3</v>
      </c>
      <c r="X21" s="5" t="n">
        <f aca="false">J21</f>
        <v>266666.6667</v>
      </c>
      <c r="Y21" s="5" t="n">
        <f aca="false">K21</f>
        <v>280000</v>
      </c>
      <c r="Z21" s="5" t="n">
        <f aca="false">L21</f>
        <v>294000</v>
      </c>
      <c r="AA21" s="230" t="n">
        <f aca="false">M21</f>
        <v>308700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customFormat="false" ht="12.75" hidden="false" customHeight="true" outlineLevel="0" collapsed="false">
      <c r="A22" s="56"/>
      <c r="B22" s="2" t="str">
        <f aca="false">'Entity 2 Out'!A10</f>
        <v>Prodcut 4</v>
      </c>
      <c r="C22" s="72" t="n">
        <f aca="false">'Entity 2 Out'!D10</f>
        <v>1000000</v>
      </c>
      <c r="D22" s="72" t="n">
        <f aca="false">'Entity 2 Out'!E10</f>
        <v>1050000</v>
      </c>
      <c r="E22" s="72" t="n">
        <f aca="false">'Entity 2 Out'!F10</f>
        <v>1102500</v>
      </c>
      <c r="F22" s="283" t="n">
        <f aca="false">'Entity 2 Out'!G10</f>
        <v>1157625</v>
      </c>
      <c r="G22" s="489"/>
      <c r="H22" s="56"/>
      <c r="I22" s="2" t="str">
        <f aca="false">B22</f>
        <v>Prodcut 4</v>
      </c>
      <c r="J22" s="72" t="n">
        <f aca="false">C22</f>
        <v>1000000</v>
      </c>
      <c r="K22" s="72" t="n">
        <f aca="false">D22</f>
        <v>1050000</v>
      </c>
      <c r="L22" s="72" t="n">
        <f aca="false">E22</f>
        <v>1102500</v>
      </c>
      <c r="M22" s="283" t="n">
        <f aca="false">F22</f>
        <v>1157625</v>
      </c>
      <c r="N22" s="489"/>
      <c r="O22" s="56"/>
      <c r="P22" s="2" t="str">
        <f aca="false">B22</f>
        <v>Prodcut 4</v>
      </c>
      <c r="Q22" s="72" t="n">
        <f aca="false">C22</f>
        <v>1000000</v>
      </c>
      <c r="R22" s="72" t="n">
        <f aca="false">D22</f>
        <v>1050000</v>
      </c>
      <c r="S22" s="72" t="n">
        <f aca="false">E22</f>
        <v>1102500</v>
      </c>
      <c r="T22" s="283" t="n">
        <f aca="false">F22</f>
        <v>1157625</v>
      </c>
      <c r="U22" s="489"/>
      <c r="V22" s="56"/>
      <c r="W22" s="2" t="str">
        <f aca="false">I22</f>
        <v>Prodcut 4</v>
      </c>
      <c r="X22" s="72" t="n">
        <f aca="false">J22</f>
        <v>1000000</v>
      </c>
      <c r="Y22" s="72" t="n">
        <f aca="false">K22</f>
        <v>1050000</v>
      </c>
      <c r="Z22" s="72" t="n">
        <f aca="false">L22</f>
        <v>1102500</v>
      </c>
      <c r="AA22" s="283" t="n">
        <f aca="false">M22</f>
        <v>1157625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customFormat="false" ht="12.75" hidden="false" customHeight="true" outlineLevel="0" collapsed="false">
      <c r="A23" s="56"/>
      <c r="B23" s="491" t="s">
        <v>77</v>
      </c>
      <c r="C23" s="492" t="n">
        <f aca="false">'Entity 2 Out'!D11</f>
        <v>3666667</v>
      </c>
      <c r="D23" s="492" t="n">
        <f aca="false">'Entity 2 Out'!E11</f>
        <v>3850000</v>
      </c>
      <c r="E23" s="492" t="n">
        <f aca="false">'Entity 2 Out'!F11</f>
        <v>4042500</v>
      </c>
      <c r="F23" s="493" t="n">
        <f aca="false">'Entity 2 Out'!G11</f>
        <v>4244625</v>
      </c>
      <c r="G23" s="489"/>
      <c r="H23" s="56"/>
      <c r="I23" s="491" t="s">
        <v>77</v>
      </c>
      <c r="J23" s="5" t="n">
        <f aca="false">C23</f>
        <v>3666667</v>
      </c>
      <c r="K23" s="5" t="n">
        <f aca="false">D23</f>
        <v>3850000</v>
      </c>
      <c r="L23" s="5" t="n">
        <f aca="false">E23</f>
        <v>4042500</v>
      </c>
      <c r="M23" s="230" t="n">
        <f aca="false">F23</f>
        <v>4244625</v>
      </c>
      <c r="N23" s="489"/>
      <c r="O23" s="56"/>
      <c r="P23" s="491" t="str">
        <f aca="false">B23</f>
        <v>Total</v>
      </c>
      <c r="Q23" s="492" t="n">
        <f aca="false">C23</f>
        <v>3666667</v>
      </c>
      <c r="R23" s="492" t="n">
        <f aca="false">D23</f>
        <v>3850000</v>
      </c>
      <c r="S23" s="492" t="n">
        <f aca="false">E23</f>
        <v>4042500</v>
      </c>
      <c r="T23" s="493" t="n">
        <f aca="false">F23</f>
        <v>4244625</v>
      </c>
      <c r="U23" s="489"/>
      <c r="V23" s="56"/>
      <c r="W23" s="491" t="str">
        <f aca="false">I23</f>
        <v>Total</v>
      </c>
      <c r="X23" s="492" t="n">
        <f aca="false">J23</f>
        <v>3666667</v>
      </c>
      <c r="Y23" s="492" t="n">
        <f aca="false">K23</f>
        <v>3850000</v>
      </c>
      <c r="Z23" s="492" t="n">
        <f aca="false">L23</f>
        <v>4042500</v>
      </c>
      <c r="AA23" s="493" t="n">
        <f aca="false">M23</f>
        <v>4244625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customFormat="false" ht="12.75" hidden="false" customHeight="true" outlineLevel="0" collapsed="false">
      <c r="A24" s="56"/>
      <c r="B24" s="2"/>
      <c r="C24" s="2"/>
      <c r="D24" s="2"/>
      <c r="E24" s="2"/>
      <c r="F24" s="25"/>
      <c r="G24" s="489"/>
      <c r="H24" s="56"/>
      <c r="I24" s="2"/>
      <c r="J24" s="2"/>
      <c r="K24" s="2"/>
      <c r="L24" s="2"/>
      <c r="M24" s="25"/>
      <c r="N24" s="489"/>
      <c r="O24" s="56"/>
      <c r="P24" s="2"/>
      <c r="Q24" s="2"/>
      <c r="R24" s="2"/>
      <c r="S24" s="2"/>
      <c r="T24" s="25"/>
      <c r="U24" s="489"/>
      <c r="V24" s="56"/>
      <c r="W24" s="2"/>
      <c r="X24" s="2"/>
      <c r="Y24" s="2"/>
      <c r="Z24" s="2"/>
      <c r="AA24" s="25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customFormat="false" ht="12.75" hidden="false" customHeight="true" outlineLevel="0" collapsed="false">
      <c r="A25" s="20" t="s">
        <v>213</v>
      </c>
      <c r="B25" s="2"/>
      <c r="C25" s="2"/>
      <c r="D25" s="2"/>
      <c r="E25" s="2"/>
      <c r="F25" s="25"/>
      <c r="G25" s="489"/>
      <c r="H25" s="20" t="str">
        <f aca="false">A25</f>
        <v>Entity 3</v>
      </c>
      <c r="I25" s="2"/>
      <c r="J25" s="2"/>
      <c r="K25" s="2"/>
      <c r="L25" s="2"/>
      <c r="M25" s="25"/>
      <c r="N25" s="489"/>
      <c r="O25" s="20" t="str">
        <f aca="false">H25</f>
        <v>Entity 3</v>
      </c>
      <c r="P25" s="2"/>
      <c r="Q25" s="2"/>
      <c r="R25" s="2"/>
      <c r="S25" s="2"/>
      <c r="T25" s="25"/>
      <c r="U25" s="489"/>
      <c r="V25" s="20" t="str">
        <f aca="false">O25</f>
        <v>Entity 3</v>
      </c>
      <c r="W25" s="2"/>
      <c r="X25" s="2"/>
      <c r="Y25" s="2"/>
      <c r="Z25" s="2"/>
      <c r="AA25" s="25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customFormat="false" ht="12.75" hidden="false" customHeight="true" outlineLevel="0" collapsed="false">
      <c r="A26" s="56"/>
      <c r="B26" s="2" t="str">
        <f aca="false">'Entity 3 Out'!A6</f>
        <v>Product 1</v>
      </c>
      <c r="C26" s="2" t="n">
        <f aca="false">'Entity 3 Out'!C6</f>
        <v>100</v>
      </c>
      <c r="D26" s="2" t="n">
        <f aca="false">'Entity 3 Out'!D6</f>
        <v>150</v>
      </c>
      <c r="E26" s="2" t="n">
        <f aca="false">'Entity 3 Out'!E6</f>
        <v>200</v>
      </c>
      <c r="F26" s="25" t="n">
        <f aca="false">'Entity 3 Out'!F6</f>
        <v>250</v>
      </c>
      <c r="G26" s="489"/>
      <c r="H26" s="56"/>
      <c r="I26" s="2" t="str">
        <f aca="false">B26</f>
        <v>Product 1</v>
      </c>
      <c r="J26" s="2" t="n">
        <f aca="false">C26</f>
        <v>100</v>
      </c>
      <c r="K26" s="2" t="n">
        <f aca="false">D26</f>
        <v>150</v>
      </c>
      <c r="L26" s="2" t="n">
        <f aca="false">E26</f>
        <v>200</v>
      </c>
      <c r="M26" s="25" t="n">
        <f aca="false">F26</f>
        <v>250</v>
      </c>
      <c r="N26" s="489"/>
      <c r="O26" s="56"/>
      <c r="P26" s="2" t="str">
        <f aca="false">I26</f>
        <v>Product 1</v>
      </c>
      <c r="Q26" s="2" t="n">
        <f aca="false">C26</f>
        <v>100</v>
      </c>
      <c r="R26" s="2" t="n">
        <f aca="false">D26</f>
        <v>150</v>
      </c>
      <c r="S26" s="2" t="n">
        <f aca="false">E26</f>
        <v>200</v>
      </c>
      <c r="T26" s="25" t="n">
        <f aca="false">F26</f>
        <v>250</v>
      </c>
      <c r="U26" s="489"/>
      <c r="V26" s="56"/>
      <c r="W26" s="2" t="str">
        <f aca="false">P26</f>
        <v>Product 1</v>
      </c>
      <c r="X26" s="2" t="n">
        <f aca="false">J26</f>
        <v>100</v>
      </c>
      <c r="Y26" s="2" t="n">
        <f aca="false">K26</f>
        <v>150</v>
      </c>
      <c r="Z26" s="2" t="n">
        <f aca="false">L26</f>
        <v>200</v>
      </c>
      <c r="AA26" s="25" t="n">
        <f aca="false">M26</f>
        <v>250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customFormat="false" ht="12.75" hidden="false" customHeight="true" outlineLevel="0" collapsed="false">
      <c r="A27" s="56"/>
      <c r="B27" s="2" t="str">
        <f aca="false">'Entity 3 Out'!A7</f>
        <v>Product 2</v>
      </c>
      <c r="C27" s="2" t="n">
        <f aca="false">'Entity 3 Out'!C7</f>
        <v>150</v>
      </c>
      <c r="D27" s="2" t="n">
        <f aca="false">'Entity 3 Out'!D7</f>
        <v>200</v>
      </c>
      <c r="E27" s="2" t="n">
        <f aca="false">'Entity 3 Out'!E7</f>
        <v>250</v>
      </c>
      <c r="F27" s="25" t="n">
        <f aca="false">'Entity 3 Out'!F7</f>
        <v>300</v>
      </c>
      <c r="G27" s="489"/>
      <c r="H27" s="56"/>
      <c r="I27" s="2" t="str">
        <f aca="false">B27</f>
        <v>Product 2</v>
      </c>
      <c r="J27" s="2" t="n">
        <f aca="false">C27</f>
        <v>150</v>
      </c>
      <c r="K27" s="2" t="n">
        <f aca="false">D27</f>
        <v>200</v>
      </c>
      <c r="L27" s="2" t="n">
        <f aca="false">E27</f>
        <v>250</v>
      </c>
      <c r="M27" s="25" t="n">
        <f aca="false">F27</f>
        <v>300</v>
      </c>
      <c r="N27" s="489"/>
      <c r="O27" s="56"/>
      <c r="P27" s="2" t="str">
        <f aca="false">I27</f>
        <v>Product 2</v>
      </c>
      <c r="Q27" s="2" t="n">
        <f aca="false">C27</f>
        <v>150</v>
      </c>
      <c r="R27" s="2" t="n">
        <f aca="false">D27</f>
        <v>200</v>
      </c>
      <c r="S27" s="2" t="n">
        <f aca="false">E27</f>
        <v>250</v>
      </c>
      <c r="T27" s="25" t="n">
        <f aca="false">F27</f>
        <v>300</v>
      </c>
      <c r="U27" s="489"/>
      <c r="V27" s="56"/>
      <c r="W27" s="2" t="str">
        <f aca="false">P27</f>
        <v>Product 2</v>
      </c>
      <c r="X27" s="2" t="n">
        <f aca="false">J27</f>
        <v>150</v>
      </c>
      <c r="Y27" s="2" t="n">
        <f aca="false">K27</f>
        <v>200</v>
      </c>
      <c r="Z27" s="2" t="n">
        <f aca="false">L27</f>
        <v>250</v>
      </c>
      <c r="AA27" s="25" t="n">
        <f aca="false">M27</f>
        <v>300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customFormat="false" ht="12.75" hidden="false" customHeight="true" outlineLevel="0" collapsed="false">
      <c r="A28" s="56"/>
      <c r="B28" s="2" t="str">
        <f aca="false">'Entity 3 Out'!A8</f>
        <v>Product 3</v>
      </c>
      <c r="C28" s="31" t="n">
        <f aca="false">'Entity 3 Out'!C8</f>
        <v>125</v>
      </c>
      <c r="D28" s="31" t="n">
        <f aca="false">'Entity 3 Out'!D8</f>
        <v>175</v>
      </c>
      <c r="E28" s="31" t="n">
        <f aca="false">'Entity 3 Out'!E8</f>
        <v>225</v>
      </c>
      <c r="F28" s="32" t="n">
        <f aca="false">'Entity 3 Out'!F8</f>
        <v>275</v>
      </c>
      <c r="G28" s="489"/>
      <c r="H28" s="56"/>
      <c r="I28" s="2" t="str">
        <f aca="false">B28</f>
        <v>Product 3</v>
      </c>
      <c r="J28" s="31" t="n">
        <f aca="false">C28</f>
        <v>125</v>
      </c>
      <c r="K28" s="31" t="n">
        <f aca="false">D28</f>
        <v>175</v>
      </c>
      <c r="L28" s="31" t="n">
        <f aca="false">E28</f>
        <v>225</v>
      </c>
      <c r="M28" s="32" t="n">
        <f aca="false">F28</f>
        <v>275</v>
      </c>
      <c r="N28" s="489"/>
      <c r="O28" s="56"/>
      <c r="P28" s="2" t="str">
        <f aca="false">I28</f>
        <v>Product 3</v>
      </c>
      <c r="Q28" s="31" t="n">
        <f aca="false">C28</f>
        <v>125</v>
      </c>
      <c r="R28" s="31" t="n">
        <f aca="false">D28</f>
        <v>175</v>
      </c>
      <c r="S28" s="31" t="n">
        <f aca="false">E28</f>
        <v>225</v>
      </c>
      <c r="T28" s="32" t="n">
        <f aca="false">F28</f>
        <v>275</v>
      </c>
      <c r="U28" s="489"/>
      <c r="V28" s="56"/>
      <c r="W28" s="2" t="str">
        <f aca="false">P28</f>
        <v>Product 3</v>
      </c>
      <c r="X28" s="31" t="n">
        <f aca="false">J28</f>
        <v>125</v>
      </c>
      <c r="Y28" s="31" t="n">
        <f aca="false">K28</f>
        <v>175</v>
      </c>
      <c r="Z28" s="31" t="n">
        <f aca="false">L28</f>
        <v>225</v>
      </c>
      <c r="AA28" s="32" t="n">
        <f aca="false">M28</f>
        <v>275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customFormat="false" ht="12.75" hidden="false" customHeight="true" outlineLevel="0" collapsed="false">
      <c r="A29" s="56"/>
      <c r="B29" s="491" t="s">
        <v>77</v>
      </c>
      <c r="C29" s="494" t="n">
        <f aca="false">'Entity 3 Out'!C9</f>
        <v>375</v>
      </c>
      <c r="D29" s="494" t="n">
        <f aca="false">'Entity 3 Out'!D9</f>
        <v>525</v>
      </c>
      <c r="E29" s="494" t="n">
        <f aca="false">'Entity 3 Out'!E9</f>
        <v>675</v>
      </c>
      <c r="F29" s="495" t="n">
        <f aca="false">'Entity 3 Out'!F9</f>
        <v>825</v>
      </c>
      <c r="G29" s="489"/>
      <c r="H29" s="56"/>
      <c r="I29" s="491" t="s">
        <v>77</v>
      </c>
      <c r="J29" s="494" t="n">
        <f aca="false">C29</f>
        <v>375</v>
      </c>
      <c r="K29" s="494" t="n">
        <f aca="false">D29</f>
        <v>525</v>
      </c>
      <c r="L29" s="494" t="n">
        <f aca="false">E29</f>
        <v>675</v>
      </c>
      <c r="M29" s="495" t="n">
        <f aca="false">F29</f>
        <v>825</v>
      </c>
      <c r="N29" s="489"/>
      <c r="O29" s="56"/>
      <c r="P29" s="491" t="s">
        <v>77</v>
      </c>
      <c r="Q29" s="494" t="n">
        <f aca="false">C29</f>
        <v>375</v>
      </c>
      <c r="R29" s="494" t="n">
        <f aca="false">D29</f>
        <v>525</v>
      </c>
      <c r="S29" s="494" t="n">
        <f aca="false">E29</f>
        <v>675</v>
      </c>
      <c r="T29" s="495" t="n">
        <f aca="false">F29</f>
        <v>825</v>
      </c>
      <c r="U29" s="489"/>
      <c r="V29" s="56"/>
      <c r="W29" s="491" t="s">
        <v>77</v>
      </c>
      <c r="X29" s="494" t="n">
        <f aca="false">J29</f>
        <v>375</v>
      </c>
      <c r="Y29" s="494" t="n">
        <f aca="false">K29</f>
        <v>525</v>
      </c>
      <c r="Z29" s="494" t="n">
        <f aca="false">L29</f>
        <v>675</v>
      </c>
      <c r="AA29" s="495" t="n">
        <f aca="false">M29</f>
        <v>825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customFormat="false" ht="12.75" hidden="false" customHeight="true" outlineLevel="0" collapsed="false">
      <c r="A30" s="56"/>
      <c r="B30" s="2"/>
      <c r="C30" s="2"/>
      <c r="D30" s="2"/>
      <c r="E30" s="2"/>
      <c r="F30" s="25"/>
      <c r="G30" s="489"/>
      <c r="H30" s="56"/>
      <c r="I30" s="2"/>
      <c r="J30" s="2"/>
      <c r="K30" s="2"/>
      <c r="L30" s="2"/>
      <c r="M30" s="25"/>
      <c r="N30" s="489"/>
      <c r="O30" s="56"/>
      <c r="P30" s="2"/>
      <c r="Q30" s="2"/>
      <c r="R30" s="2"/>
      <c r="S30" s="2"/>
      <c r="T30" s="25"/>
      <c r="U30" s="489"/>
      <c r="V30" s="56"/>
      <c r="W30" s="2"/>
      <c r="X30" s="2"/>
      <c r="Y30" s="2"/>
      <c r="Z30" s="2"/>
      <c r="AA30" s="25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customFormat="false" ht="12.75" hidden="false" customHeight="true" outlineLevel="0" collapsed="false">
      <c r="A31" s="185" t="s">
        <v>80</v>
      </c>
      <c r="B31" s="2"/>
      <c r="C31" s="2"/>
      <c r="D31" s="2"/>
      <c r="E31" s="2"/>
      <c r="F31" s="25"/>
      <c r="G31" s="489"/>
      <c r="H31" s="185" t="s">
        <v>80</v>
      </c>
      <c r="I31" s="2"/>
      <c r="J31" s="2"/>
      <c r="K31" s="2"/>
      <c r="L31" s="2"/>
      <c r="M31" s="25"/>
      <c r="N31" s="489"/>
      <c r="O31" s="185" t="s">
        <v>80</v>
      </c>
      <c r="P31" s="2"/>
      <c r="Q31" s="2"/>
      <c r="R31" s="2"/>
      <c r="S31" s="2"/>
      <c r="T31" s="25"/>
      <c r="U31" s="489"/>
      <c r="V31" s="185" t="s">
        <v>80</v>
      </c>
      <c r="W31" s="2"/>
      <c r="X31" s="2"/>
      <c r="Y31" s="2"/>
      <c r="Z31" s="2"/>
      <c r="AA31" s="25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customFormat="false" ht="12.75" hidden="false" customHeight="true" outlineLevel="0" collapsed="false">
      <c r="A32" s="20" t="str">
        <f aca="false">A6</f>
        <v>Entity 1</v>
      </c>
      <c r="B32" s="2"/>
      <c r="C32" s="402" t="n">
        <f aca="false">'Entity 1 Outputs'!L29</f>
        <v>34033755.7</v>
      </c>
      <c r="D32" s="402" t="n">
        <f aca="false">'Entity 1 Outputs'!M29</f>
        <v>48087794.27</v>
      </c>
      <c r="E32" s="402" t="n">
        <f aca="false">'Entity 1 Outputs'!N29</f>
        <v>69727374.39</v>
      </c>
      <c r="F32" s="403" t="n">
        <f aca="false">'Entity 1 Outputs'!O29</f>
        <v>101104628</v>
      </c>
      <c r="G32" s="489"/>
      <c r="H32" s="20" t="str">
        <f aca="false">H6</f>
        <v>Entity 1</v>
      </c>
      <c r="I32" s="2"/>
      <c r="J32" s="402" t="n">
        <f aca="false">'Entity 1 Outputs'!L29</f>
        <v>34033755.7</v>
      </c>
      <c r="K32" s="402" t="n">
        <f aca="false">'Entity 1 Outputs'!M29</f>
        <v>48087794.27</v>
      </c>
      <c r="L32" s="402" t="n">
        <f aca="false">'Entity 1 Outputs'!N29</f>
        <v>69727374.39</v>
      </c>
      <c r="M32" s="403" t="n">
        <f aca="false">'Entity 1 Outputs'!O29</f>
        <v>101104628</v>
      </c>
      <c r="N32" s="489"/>
      <c r="O32" s="20" t="str">
        <f aca="false">O6</f>
        <v>Entity 1</v>
      </c>
      <c r="P32" s="2"/>
      <c r="Q32" s="402" t="n">
        <f aca="false">'Entity 1 Outputs'!T29</f>
        <v>34033755.7</v>
      </c>
      <c r="R32" s="402" t="n">
        <f aca="false">'Entity 1 Outputs'!U29</f>
        <v>48087794.27</v>
      </c>
      <c r="S32" s="402" t="n">
        <f aca="false">'Entity 1 Outputs'!V29</f>
        <v>69727374.39</v>
      </c>
      <c r="T32" s="403" t="n">
        <f aca="false">'Entity 1 Outputs'!W29</f>
        <v>101104628</v>
      </c>
      <c r="U32" s="489"/>
      <c r="V32" s="20" t="str">
        <f aca="false">V6</f>
        <v>Entity 1</v>
      </c>
      <c r="W32" s="2"/>
      <c r="X32" s="402" t="n">
        <f aca="false">'Entity 1 Outputs'!AB29</f>
        <v>34033755.7</v>
      </c>
      <c r="Y32" s="402" t="n">
        <f aca="false">'Entity 1 Outputs'!AC29</f>
        <v>48087794.27</v>
      </c>
      <c r="Z32" s="402" t="n">
        <f aca="false">'Entity 1 Outputs'!AD29</f>
        <v>69727374.39</v>
      </c>
      <c r="AA32" s="403" t="n">
        <f aca="false">'Entity 1 Outputs'!AE29</f>
        <v>101104628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customFormat="false" ht="12.75" hidden="false" customHeight="true" outlineLevel="0" collapsed="false">
      <c r="A33" s="20" t="str">
        <f aca="false">A18</f>
        <v>Entity 2</v>
      </c>
      <c r="B33" s="2"/>
      <c r="C33" s="402" t="n">
        <f aca="false">'Entity 2 Out'!D23</f>
        <v>1256056667</v>
      </c>
      <c r="D33" s="402" t="n">
        <f aca="false">'Entity 2 Out'!E23</f>
        <v>1198915667</v>
      </c>
      <c r="E33" s="402" t="n">
        <f aca="false">'Entity 2 Out'!F23</f>
        <v>1258861450</v>
      </c>
      <c r="F33" s="403" t="n">
        <f aca="false">'Entity 2 Out'!G23</f>
        <v>1321804523</v>
      </c>
      <c r="G33" s="489"/>
      <c r="H33" s="20" t="str">
        <f aca="false">H18</f>
        <v>Entity 2</v>
      </c>
      <c r="I33" s="2"/>
      <c r="J33" s="402" t="n">
        <f aca="false">'Entity 2 Out'!L23</f>
        <v>1256056667</v>
      </c>
      <c r="K33" s="402" t="n">
        <f aca="false">'Entity 2 Out'!M23</f>
        <v>1198915667</v>
      </c>
      <c r="L33" s="402" t="n">
        <f aca="false">'Entity 2 Out'!N23</f>
        <v>1258861450</v>
      </c>
      <c r="M33" s="403" t="n">
        <f aca="false">'Entity 2 Out'!O23</f>
        <v>1321804523</v>
      </c>
      <c r="N33" s="489"/>
      <c r="O33" s="20" t="str">
        <f aca="false">O18</f>
        <v>Entity 2</v>
      </c>
      <c r="P33" s="2"/>
      <c r="Q33" s="402" t="n">
        <f aca="false">'Entity 2 Out'!T23</f>
        <v>1256056667</v>
      </c>
      <c r="R33" s="402" t="n">
        <f aca="false">'Entity 2 Out'!U23</f>
        <v>1198915667</v>
      </c>
      <c r="S33" s="402" t="n">
        <f aca="false">'Entity 2 Out'!V23</f>
        <v>1258861450</v>
      </c>
      <c r="T33" s="403" t="n">
        <f aca="false">'Entity 2 Out'!W23</f>
        <v>1321804523</v>
      </c>
      <c r="U33" s="489"/>
      <c r="V33" s="20" t="str">
        <f aca="false">V18</f>
        <v>Entity 2</v>
      </c>
      <c r="W33" s="2"/>
      <c r="X33" s="402" t="n">
        <f aca="false">Q33</f>
        <v>1256056667</v>
      </c>
      <c r="Y33" s="402" t="n">
        <f aca="false">R33</f>
        <v>1198915667</v>
      </c>
      <c r="Z33" s="402" t="n">
        <f aca="false">S33</f>
        <v>1258861450</v>
      </c>
      <c r="AA33" s="403" t="n">
        <f aca="false">T33</f>
        <v>1321804523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customFormat="false" ht="12.75" hidden="false" customHeight="true" outlineLevel="0" collapsed="false">
      <c r="A34" s="20" t="str">
        <f aca="false">A25</f>
        <v>Entity 3</v>
      </c>
      <c r="B34" s="2"/>
      <c r="C34" s="468" t="n">
        <f aca="false">'Entity 3 Out'!C15</f>
        <v>381742.5</v>
      </c>
      <c r="D34" s="468" t="n">
        <f aca="false">'Entity 3 Out'!D15</f>
        <v>571490</v>
      </c>
      <c r="E34" s="468" t="n">
        <f aca="false">'Entity 3 Out'!E15</f>
        <v>761237.5</v>
      </c>
      <c r="F34" s="469" t="n">
        <f aca="false">'Entity 3 Out'!F15</f>
        <v>950985</v>
      </c>
      <c r="G34" s="489"/>
      <c r="H34" s="20" t="str">
        <f aca="false">H25</f>
        <v>Entity 3</v>
      </c>
      <c r="I34" s="2"/>
      <c r="J34" s="402" t="n">
        <f aca="false">C34</f>
        <v>381742.5</v>
      </c>
      <c r="K34" s="402" t="n">
        <f aca="false">D34</f>
        <v>571490</v>
      </c>
      <c r="L34" s="402" t="n">
        <f aca="false">E34</f>
        <v>761237.5</v>
      </c>
      <c r="M34" s="403" t="n">
        <f aca="false">F34</f>
        <v>950985</v>
      </c>
      <c r="N34" s="489"/>
      <c r="O34" s="20" t="str">
        <f aca="false">O25</f>
        <v>Entity 3</v>
      </c>
      <c r="P34" s="2"/>
      <c r="Q34" s="468" t="n">
        <f aca="false">C34</f>
        <v>381742.5</v>
      </c>
      <c r="R34" s="468" t="n">
        <f aca="false">D34</f>
        <v>571490</v>
      </c>
      <c r="S34" s="468" t="n">
        <f aca="false">E34</f>
        <v>761237.5</v>
      </c>
      <c r="T34" s="469" t="n">
        <f aca="false">F34</f>
        <v>950985</v>
      </c>
      <c r="U34" s="489"/>
      <c r="V34" s="20" t="str">
        <f aca="false">V25</f>
        <v>Entity 3</v>
      </c>
      <c r="W34" s="2"/>
      <c r="X34" s="468" t="n">
        <f aca="false">Q34</f>
        <v>381742.5</v>
      </c>
      <c r="Y34" s="468" t="n">
        <f aca="false">R34</f>
        <v>571490</v>
      </c>
      <c r="Z34" s="468" t="n">
        <f aca="false">S34</f>
        <v>761237.5</v>
      </c>
      <c r="AA34" s="469" t="n">
        <f aca="false">T34</f>
        <v>950985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Format="false" ht="12.75" hidden="false" customHeight="true" outlineLevel="0" collapsed="false">
      <c r="A35" s="56"/>
      <c r="B35" s="491" t="s">
        <v>77</v>
      </c>
      <c r="C35" s="496" t="n">
        <f aca="false">SUM(C32:C34)</f>
        <v>1290472165.2</v>
      </c>
      <c r="D35" s="496" t="n">
        <f aca="false">SUM(D32:D34)</f>
        <v>1247574951.27</v>
      </c>
      <c r="E35" s="496" t="n">
        <f aca="false">SUM(E32:E34)</f>
        <v>1329350061.89</v>
      </c>
      <c r="F35" s="497" t="n">
        <f aca="false">SUM(F32:F34)</f>
        <v>1423860136</v>
      </c>
      <c r="G35" s="489"/>
      <c r="H35" s="56"/>
      <c r="I35" s="491" t="s">
        <v>77</v>
      </c>
      <c r="J35" s="402" t="n">
        <f aca="false">SUM(J32:J34)</f>
        <v>1290472165.2</v>
      </c>
      <c r="K35" s="402" t="n">
        <f aca="false">SUM(K32:K34)</f>
        <v>1247574951.27</v>
      </c>
      <c r="L35" s="402" t="n">
        <f aca="false">SUM(L32:L34)</f>
        <v>1329350061.89</v>
      </c>
      <c r="M35" s="403" t="n">
        <f aca="false">SUM(M32:M34)</f>
        <v>1423860136</v>
      </c>
      <c r="N35" s="489"/>
      <c r="O35" s="56"/>
      <c r="P35" s="491" t="s">
        <v>77</v>
      </c>
      <c r="Q35" s="496" t="n">
        <f aca="false">SUM(Q32:Q34)</f>
        <v>1290472165.2</v>
      </c>
      <c r="R35" s="496" t="n">
        <f aca="false">SUM(R32:R34)</f>
        <v>1247574951.27</v>
      </c>
      <c r="S35" s="496" t="n">
        <f aca="false">SUM(S32:S34)</f>
        <v>1329350061.89</v>
      </c>
      <c r="T35" s="497" t="n">
        <f aca="false">SUM(T32:T34)</f>
        <v>1423860136</v>
      </c>
      <c r="U35" s="489"/>
      <c r="V35" s="56"/>
      <c r="W35" s="491" t="s">
        <v>77</v>
      </c>
      <c r="X35" s="496" t="n">
        <f aca="false">SUM(X32:X34)</f>
        <v>1290472165.2</v>
      </c>
      <c r="Y35" s="496" t="n">
        <f aca="false">SUM(Y32:Y34)</f>
        <v>1247574951.27</v>
      </c>
      <c r="Z35" s="496" t="n">
        <f aca="false">SUM(Z32:Z34)</f>
        <v>1329350061.89</v>
      </c>
      <c r="AA35" s="497" t="n">
        <f aca="false">SUM(AA32:AA34)</f>
        <v>1423860136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Format="false" ht="12.75" hidden="false" customHeight="true" outlineLevel="0" collapsed="false">
      <c r="A36" s="56"/>
      <c r="B36" s="2"/>
      <c r="C36" s="2"/>
      <c r="D36" s="2"/>
      <c r="E36" s="2"/>
      <c r="F36" s="25"/>
      <c r="G36" s="489"/>
      <c r="H36" s="56"/>
      <c r="I36" s="2"/>
      <c r="J36" s="2"/>
      <c r="K36" s="2"/>
      <c r="L36" s="2"/>
      <c r="M36" s="25"/>
      <c r="N36" s="489"/>
      <c r="O36" s="56"/>
      <c r="P36" s="2"/>
      <c r="Q36" s="2"/>
      <c r="R36" s="2"/>
      <c r="S36" s="2"/>
      <c r="T36" s="25"/>
      <c r="U36" s="489"/>
      <c r="V36" s="56"/>
      <c r="W36" s="2"/>
      <c r="X36" s="2"/>
      <c r="Y36" s="2"/>
      <c r="Z36" s="2"/>
      <c r="AA36" s="25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Format="false" ht="12.75" hidden="false" customHeight="true" outlineLevel="0" collapsed="false">
      <c r="A37" s="185" t="s">
        <v>182</v>
      </c>
      <c r="B37" s="2"/>
      <c r="C37" s="2"/>
      <c r="D37" s="2"/>
      <c r="E37" s="2"/>
      <c r="F37" s="25"/>
      <c r="G37" s="489"/>
      <c r="H37" s="185" t="s">
        <v>182</v>
      </c>
      <c r="I37" s="2"/>
      <c r="J37" s="2"/>
      <c r="K37" s="2"/>
      <c r="L37" s="2"/>
      <c r="M37" s="25"/>
      <c r="N37" s="489"/>
      <c r="O37" s="185" t="s">
        <v>182</v>
      </c>
      <c r="P37" s="2"/>
      <c r="Q37" s="2"/>
      <c r="R37" s="2"/>
      <c r="S37" s="2"/>
      <c r="T37" s="25"/>
      <c r="U37" s="489"/>
      <c r="V37" s="185" t="s">
        <v>182</v>
      </c>
      <c r="W37" s="2"/>
      <c r="X37" s="2"/>
      <c r="Y37" s="2"/>
      <c r="Z37" s="2"/>
      <c r="AA37" s="25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Format="false" ht="12.75" hidden="false" customHeight="true" outlineLevel="0" collapsed="false">
      <c r="A38" s="20" t="str">
        <f aca="false">A32</f>
        <v>Entity 1</v>
      </c>
      <c r="B38" s="2"/>
      <c r="C38" s="402" t="n">
        <f aca="false">'Entity 1 Outputs'!L47</f>
        <v>23670635.9538659</v>
      </c>
      <c r="D38" s="402" t="n">
        <f aca="false">'Entity 1 Outputs'!M47</f>
        <v>32534517.5159707</v>
      </c>
      <c r="E38" s="402" t="n">
        <f aca="false">'Entity 1 Outputs'!N47</f>
        <v>47167323.0383781</v>
      </c>
      <c r="F38" s="403" t="n">
        <f aca="false">'Entity 1 Outputs'!O47</f>
        <v>68384696.8327501</v>
      </c>
      <c r="G38" s="489"/>
      <c r="H38" s="20" t="str">
        <f aca="false">H32</f>
        <v>Entity 1</v>
      </c>
      <c r="I38" s="2"/>
      <c r="J38" s="402" t="n">
        <f aca="false">'Entity 1 Outputs'!L47</f>
        <v>23670635.9538659</v>
      </c>
      <c r="K38" s="402" t="n">
        <f aca="false">'Entity 1 Outputs'!M47</f>
        <v>32534517.5159707</v>
      </c>
      <c r="L38" s="402" t="n">
        <f aca="false">'Entity 1 Outputs'!N47</f>
        <v>47167323.0383781</v>
      </c>
      <c r="M38" s="403" t="n">
        <f aca="false">'Entity 1 Outputs'!O47</f>
        <v>68384696.8327501</v>
      </c>
      <c r="N38" s="489"/>
      <c r="O38" s="20" t="str">
        <f aca="false">O32</f>
        <v>Entity 1</v>
      </c>
      <c r="P38" s="2"/>
      <c r="Q38" s="402" t="n">
        <f aca="false">'Entity 1 Outputs'!T49</f>
        <v>23622789.7601033</v>
      </c>
      <c r="R38" s="402" t="n">
        <f aca="false">'Entity 1 Outputs'!U49</f>
        <v>29156672.5094154</v>
      </c>
      <c r="S38" s="402" t="n">
        <f aca="false">'Entity 1 Outputs'!V49</f>
        <v>42269375.0825039</v>
      </c>
      <c r="T38" s="403" t="n">
        <f aca="false">'Entity 1 Outputs'!W49</f>
        <v>61282737.148267</v>
      </c>
      <c r="U38" s="489"/>
      <c r="V38" s="20" t="str">
        <f aca="false">V32</f>
        <v>Entity 1</v>
      </c>
      <c r="W38" s="2"/>
      <c r="X38" s="402" t="n">
        <f aca="false">'Entity 1 Outputs'!AB36</f>
        <v>19092686.3016475</v>
      </c>
      <c r="Y38" s="402" t="n">
        <f aca="false">'Entity 1 Outputs'!AC36</f>
        <v>27683998.924183</v>
      </c>
      <c r="Z38" s="402" t="n">
        <f aca="false">'Entity 1 Outputs'!AD36</f>
        <v>40141798.4407091</v>
      </c>
      <c r="AA38" s="403" t="n">
        <f aca="false">'Entity 1 Outputs'!AE36</f>
        <v>58205607.7285754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Format="false" ht="12.75" hidden="false" customHeight="true" outlineLevel="0" collapsed="false">
      <c r="A39" s="20" t="str">
        <f aca="false">A33</f>
        <v>Entity 2</v>
      </c>
      <c r="B39" s="2"/>
      <c r="C39" s="402" t="n">
        <f aca="false">'Entity 2 Out'!D38</f>
        <v>817310000</v>
      </c>
      <c r="D39" s="402" t="n">
        <f aca="false">'Entity 2 Out'!E38</f>
        <v>643424000</v>
      </c>
      <c r="E39" s="402" t="n">
        <f aca="false">'Entity 2 Out'!F38</f>
        <v>675595200</v>
      </c>
      <c r="F39" s="403" t="n">
        <f aca="false">'Entity 2 Out'!G38</f>
        <v>709374960</v>
      </c>
      <c r="G39" s="489"/>
      <c r="H39" s="20" t="str">
        <f aca="false">H33</f>
        <v>Entity 2</v>
      </c>
      <c r="I39" s="2"/>
      <c r="J39" s="402" t="n">
        <f aca="false">'Entity 2 Out'!L30</f>
        <v>818720000</v>
      </c>
      <c r="K39" s="402" t="n">
        <f aca="false">'Entity 2 Out'!M30</f>
        <v>859656000</v>
      </c>
      <c r="L39" s="402" t="n">
        <f aca="false">'Entity 2 Out'!N30</f>
        <v>902638800</v>
      </c>
      <c r="M39" s="403" t="n">
        <f aca="false">'Entity 2 Out'!O30</f>
        <v>947770740</v>
      </c>
      <c r="N39" s="489"/>
      <c r="O39" s="20" t="str">
        <f aca="false">O33</f>
        <v>Entity 2</v>
      </c>
      <c r="P39" s="2"/>
      <c r="Q39" s="402" t="n">
        <f aca="false">'Entity 2 Out'!T66</f>
        <v>864390000</v>
      </c>
      <c r="R39" s="402" t="n">
        <f aca="false">'Entity 2 Out'!U66</f>
        <v>676861500</v>
      </c>
      <c r="S39" s="402" t="n">
        <f aca="false">'Entity 2 Out'!V66</f>
        <v>710704575</v>
      </c>
      <c r="T39" s="403" t="n">
        <f aca="false">'Entity 2 Out'!W66</f>
        <v>746239803.8</v>
      </c>
      <c r="U39" s="489"/>
      <c r="V39" s="20" t="str">
        <f aca="false">V33</f>
        <v>Entity 2</v>
      </c>
      <c r="W39" s="2"/>
      <c r="X39" s="402" t="n">
        <f aca="false">Q39</f>
        <v>864390000</v>
      </c>
      <c r="Y39" s="402" t="n">
        <f aca="false">R39</f>
        <v>676861500</v>
      </c>
      <c r="Z39" s="402" t="n">
        <f aca="false">S39</f>
        <v>710704575</v>
      </c>
      <c r="AA39" s="403" t="n">
        <f aca="false">T39</f>
        <v>746239803.8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Format="false" ht="12.75" hidden="false" customHeight="true" outlineLevel="0" collapsed="false">
      <c r="A40" s="20" t="str">
        <f aca="false">A34</f>
        <v>Entity 3</v>
      </c>
      <c r="B40" s="2"/>
      <c r="C40" s="468" t="n">
        <f aca="false">'Entity 3 Out'!C21+'Entity 3 Out'!C27</f>
        <v>333805.625</v>
      </c>
      <c r="D40" s="468" t="n">
        <f aca="false">'Entity 3 Out'!D21+'Entity 3 Out'!D27</f>
        <v>490720</v>
      </c>
      <c r="E40" s="468" t="n">
        <f aca="false">'Entity 3 Out'!E21+'Entity 3 Out'!E27</f>
        <v>652634.375</v>
      </c>
      <c r="F40" s="469" t="n">
        <f aca="false">'Entity 3 Out'!F21+'Entity 3 Out'!F27</f>
        <v>814548.75</v>
      </c>
      <c r="G40" s="489"/>
      <c r="H40" s="20" t="str">
        <f aca="false">H34</f>
        <v>Entity 3</v>
      </c>
      <c r="I40" s="2"/>
      <c r="J40" s="468" t="n">
        <f aca="false">C40</f>
        <v>333805.625</v>
      </c>
      <c r="K40" s="468" t="n">
        <f aca="false">D40</f>
        <v>490720</v>
      </c>
      <c r="L40" s="468" t="n">
        <f aca="false">E40</f>
        <v>652634.375</v>
      </c>
      <c r="M40" s="469" t="n">
        <f aca="false">F40</f>
        <v>814548.75</v>
      </c>
      <c r="N40" s="489"/>
      <c r="O40" s="20" t="str">
        <f aca="false">O34</f>
        <v>Entity 3</v>
      </c>
      <c r="P40" s="2"/>
      <c r="Q40" s="468" t="n">
        <f aca="false">C40</f>
        <v>333805.625</v>
      </c>
      <c r="R40" s="468" t="n">
        <f aca="false">D40</f>
        <v>490720</v>
      </c>
      <c r="S40" s="468" t="n">
        <f aca="false">E40</f>
        <v>652634.375</v>
      </c>
      <c r="T40" s="469" t="n">
        <f aca="false">F40</f>
        <v>814548.75</v>
      </c>
      <c r="U40" s="489"/>
      <c r="V40" s="20" t="str">
        <f aca="false">V34</f>
        <v>Entity 3</v>
      </c>
      <c r="W40" s="2"/>
      <c r="X40" s="468" t="n">
        <f aca="false">Q40</f>
        <v>333805.625</v>
      </c>
      <c r="Y40" s="468" t="n">
        <f aca="false">R40</f>
        <v>490720</v>
      </c>
      <c r="Z40" s="468" t="n">
        <f aca="false">S40</f>
        <v>652634.375</v>
      </c>
      <c r="AA40" s="469" t="n">
        <f aca="false">T40</f>
        <v>814548.75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Format="false" ht="12.75" hidden="false" customHeight="true" outlineLevel="0" collapsed="false">
      <c r="A41" s="56"/>
      <c r="B41" s="491" t="s">
        <v>77</v>
      </c>
      <c r="C41" s="496" t="n">
        <f aca="false">SUM(C38:C40)</f>
        <v>841314441.578866</v>
      </c>
      <c r="D41" s="496" t="n">
        <f aca="false">SUM(D38:D40)</f>
        <v>676449237.515971</v>
      </c>
      <c r="E41" s="496" t="n">
        <f aca="false">SUM(E38:E40)</f>
        <v>723415157.413378</v>
      </c>
      <c r="F41" s="497" t="n">
        <f aca="false">SUM(F38:F40)</f>
        <v>778574205.58275</v>
      </c>
      <c r="G41" s="489"/>
      <c r="H41" s="56"/>
      <c r="I41" s="491" t="s">
        <v>77</v>
      </c>
      <c r="J41" s="496" t="n">
        <f aca="false">SUM(J38:J40)</f>
        <v>842724441.578866</v>
      </c>
      <c r="K41" s="496" t="n">
        <f aca="false">SUM(K38:K40)</f>
        <v>892681237.515971</v>
      </c>
      <c r="L41" s="496" t="n">
        <f aca="false">SUM(L38:L40)</f>
        <v>950458757.413378</v>
      </c>
      <c r="M41" s="497" t="n">
        <f aca="false">SUM(M38:M40)</f>
        <v>1016969985.58275</v>
      </c>
      <c r="N41" s="489"/>
      <c r="O41" s="56"/>
      <c r="P41" s="491" t="s">
        <v>77</v>
      </c>
      <c r="Q41" s="496" t="n">
        <f aca="false">SUM(Q38:Q40)</f>
        <v>888346595.385103</v>
      </c>
      <c r="R41" s="496" t="n">
        <f aca="false">SUM(R38:R40)</f>
        <v>706508892.509415</v>
      </c>
      <c r="S41" s="496" t="n">
        <f aca="false">SUM(S38:S40)</f>
        <v>753626584.457504</v>
      </c>
      <c r="T41" s="497" t="n">
        <f aca="false">SUM(T38:T40)</f>
        <v>808337089.698267</v>
      </c>
      <c r="U41" s="489"/>
      <c r="V41" s="56"/>
      <c r="W41" s="491" t="s">
        <v>77</v>
      </c>
      <c r="X41" s="496" t="n">
        <f aca="false">SUM(X38:X40)</f>
        <v>883816491.926648</v>
      </c>
      <c r="Y41" s="496" t="n">
        <f aca="false">SUM(Y38:Y40)</f>
        <v>705036218.924183</v>
      </c>
      <c r="Z41" s="496" t="n">
        <f aca="false">SUM(Z38:Z40)</f>
        <v>751499007.815709</v>
      </c>
      <c r="AA41" s="497" t="n">
        <f aca="false">SUM(AA38:AA40)</f>
        <v>805259960.278575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Format="false" ht="12.75" hidden="false" customHeight="true" outlineLevel="0" collapsed="false">
      <c r="A42" s="56"/>
      <c r="B42" s="2"/>
      <c r="C42" s="402"/>
      <c r="D42" s="402"/>
      <c r="E42" s="402"/>
      <c r="F42" s="403"/>
      <c r="G42" s="489"/>
      <c r="H42" s="56"/>
      <c r="I42" s="2"/>
      <c r="J42" s="402"/>
      <c r="K42" s="402"/>
      <c r="L42" s="402"/>
      <c r="M42" s="403"/>
      <c r="N42" s="489"/>
      <c r="O42" s="56"/>
      <c r="P42" s="2"/>
      <c r="Q42" s="402"/>
      <c r="R42" s="402"/>
      <c r="S42" s="402"/>
      <c r="T42" s="403"/>
      <c r="U42" s="489"/>
      <c r="V42" s="56"/>
      <c r="W42" s="2"/>
      <c r="X42" s="402"/>
      <c r="Y42" s="402"/>
      <c r="Z42" s="402"/>
      <c r="AA42" s="403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Format="false" ht="12.75" hidden="false" customHeight="true" outlineLevel="0" collapsed="false">
      <c r="A43" s="185" t="s">
        <v>363</v>
      </c>
      <c r="B43" s="2"/>
      <c r="C43" s="402"/>
      <c r="D43" s="402"/>
      <c r="E43" s="402"/>
      <c r="F43" s="403"/>
      <c r="G43" s="489"/>
      <c r="H43" s="185" t="s">
        <v>363</v>
      </c>
      <c r="I43" s="2"/>
      <c r="J43" s="402"/>
      <c r="K43" s="402"/>
      <c r="L43" s="402"/>
      <c r="M43" s="403"/>
      <c r="N43" s="489"/>
      <c r="O43" s="185" t="s">
        <v>363</v>
      </c>
      <c r="P43" s="2"/>
      <c r="Q43" s="402"/>
      <c r="R43" s="402"/>
      <c r="S43" s="402"/>
      <c r="T43" s="403"/>
      <c r="U43" s="489"/>
      <c r="V43" s="185" t="s">
        <v>363</v>
      </c>
      <c r="W43" s="2"/>
      <c r="X43" s="402"/>
      <c r="Y43" s="402"/>
      <c r="Z43" s="402"/>
      <c r="AA43" s="403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Format="false" ht="12.75" hidden="false" customHeight="true" outlineLevel="0" collapsed="false">
      <c r="A44" s="20" t="str">
        <f aca="false">A38</f>
        <v>Entity 1</v>
      </c>
      <c r="B44" s="2"/>
      <c r="C44" s="402" t="n">
        <f aca="false">'Entity 1 Outputs'!L49</f>
        <v>10363119.7454741</v>
      </c>
      <c r="D44" s="402" t="n">
        <f aca="false">'Entity 1 Outputs'!M49</f>
        <v>15553276.7540693</v>
      </c>
      <c r="E44" s="402" t="n">
        <f aca="false">'Entity 1 Outputs'!N49</f>
        <v>22560051.3440319</v>
      </c>
      <c r="F44" s="403" t="n">
        <f aca="false">'Entity 1 Outputs'!O49</f>
        <v>32719931.1730691</v>
      </c>
      <c r="G44" s="489"/>
      <c r="H44" s="20" t="str">
        <f aca="false">H38</f>
        <v>Entity 1</v>
      </c>
      <c r="I44" s="2"/>
      <c r="J44" s="402" t="n">
        <f aca="false">'Entity 1 Outputs'!L49</f>
        <v>10363119.7454741</v>
      </c>
      <c r="K44" s="402" t="n">
        <f aca="false">'Entity 1 Outputs'!M49</f>
        <v>15553276.7540693</v>
      </c>
      <c r="L44" s="402" t="n">
        <f aca="false">'Entity 1 Outputs'!N49</f>
        <v>22560051.3440319</v>
      </c>
      <c r="M44" s="403" t="n">
        <f aca="false">'Entity 1 Outputs'!O49</f>
        <v>32719931.1730691</v>
      </c>
      <c r="N44" s="489"/>
      <c r="O44" s="20" t="str">
        <f aca="false">O38</f>
        <v>Entity 1</v>
      </c>
      <c r="P44" s="2"/>
      <c r="Q44" s="402" t="n">
        <f aca="false">'Entity 1 Outputs'!T51</f>
        <v>10410965.9392367</v>
      </c>
      <c r="R44" s="402" t="n">
        <f aca="false">'Entity 1 Outputs'!U51</f>
        <v>18931121.7606246</v>
      </c>
      <c r="S44" s="402" t="n">
        <f aca="false">'Entity 1 Outputs'!V51</f>
        <v>27457999.2999061</v>
      </c>
      <c r="T44" s="403" t="n">
        <f aca="false">'Entity 1 Outputs'!W51</f>
        <v>39821890.8575522</v>
      </c>
      <c r="U44" s="489"/>
      <c r="V44" s="20" t="str">
        <f aca="false">V38</f>
        <v>Entity 1</v>
      </c>
      <c r="W44" s="2"/>
      <c r="X44" s="402" t="n">
        <f aca="false">'Entity 1 Outputs'!AB38</f>
        <v>14941069.3976925</v>
      </c>
      <c r="Y44" s="402" t="n">
        <f aca="false">'Entity 1 Outputs'!AC38</f>
        <v>20403795.345857</v>
      </c>
      <c r="Z44" s="402" t="n">
        <f aca="false">'Entity 1 Outputs'!AD38</f>
        <v>29585575.9417009</v>
      </c>
      <c r="AA44" s="403" t="n">
        <f aca="false">'Entity 1 Outputs'!AE38</f>
        <v>42899020.2772438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Format="false" ht="12.75" hidden="false" customHeight="true" outlineLevel="0" collapsed="false">
      <c r="A45" s="20" t="str">
        <f aca="false">A39</f>
        <v>Entity 2</v>
      </c>
      <c r="B45" s="2"/>
      <c r="C45" s="402" t="n">
        <f aca="false">'Entity 2 Out'!D40</f>
        <v>438746666.7</v>
      </c>
      <c r="D45" s="402" t="n">
        <f aca="false">'Entity 2 Out'!E40</f>
        <v>555491666.7</v>
      </c>
      <c r="E45" s="402" t="n">
        <f aca="false">'Entity 2 Out'!F40</f>
        <v>583266250</v>
      </c>
      <c r="F45" s="403" t="n">
        <f aca="false">'Entity 2 Out'!G40</f>
        <v>612429562.5</v>
      </c>
      <c r="G45" s="489"/>
      <c r="H45" s="20" t="str">
        <f aca="false">H39</f>
        <v>Entity 2</v>
      </c>
      <c r="I45" s="2"/>
      <c r="J45" s="402" t="n">
        <f aca="false">'Entity 2 Out'!L32</f>
        <v>437336666.7</v>
      </c>
      <c r="K45" s="402" t="n">
        <f aca="false">'Entity 2 Out'!M32</f>
        <v>339259666.7</v>
      </c>
      <c r="L45" s="402" t="n">
        <f aca="false">'Entity 2 Out'!N32</f>
        <v>356222650</v>
      </c>
      <c r="M45" s="403" t="n">
        <f aca="false">'Entity 2 Out'!O32</f>
        <v>374033782.5</v>
      </c>
      <c r="N45" s="489"/>
      <c r="O45" s="20" t="str">
        <f aca="false">O39</f>
        <v>Entity 2</v>
      </c>
      <c r="P45" s="2"/>
      <c r="Q45" s="402" t="n">
        <f aca="false">'Entity 2 Out'!T68</f>
        <v>391666666.7</v>
      </c>
      <c r="R45" s="402" t="n">
        <f aca="false">'Entity 2 Out'!U68</f>
        <v>522054166.7</v>
      </c>
      <c r="S45" s="402" t="n">
        <f aca="false">'Entity 2 Out'!V68</f>
        <v>548156875</v>
      </c>
      <c r="T45" s="403" t="n">
        <f aca="false">'Entity 2 Out'!W68</f>
        <v>575564718.8</v>
      </c>
      <c r="U45" s="489"/>
      <c r="V45" s="20" t="str">
        <f aca="false">V39</f>
        <v>Entity 2</v>
      </c>
      <c r="W45" s="2"/>
      <c r="X45" s="402" t="n">
        <f aca="false">Q45</f>
        <v>391666666.7</v>
      </c>
      <c r="Y45" s="402" t="n">
        <f aca="false">R45</f>
        <v>522054166.7</v>
      </c>
      <c r="Z45" s="402" t="n">
        <f aca="false">S45</f>
        <v>548156875</v>
      </c>
      <c r="AA45" s="403" t="n">
        <f aca="false">T45</f>
        <v>575564718.8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Format="false" ht="12.75" hidden="false" customHeight="true" outlineLevel="0" collapsed="false">
      <c r="A46" s="20" t="str">
        <f aca="false">A40</f>
        <v>Entity 3</v>
      </c>
      <c r="B46" s="2"/>
      <c r="C46" s="468" t="n">
        <f aca="false">'Entity 3 Out'!C29</f>
        <v>47936.875</v>
      </c>
      <c r="D46" s="468" t="n">
        <f aca="false">'Entity 3 Out'!D29</f>
        <v>80770</v>
      </c>
      <c r="E46" s="468" t="n">
        <f aca="false">'Entity 3 Out'!E29</f>
        <v>108603.125</v>
      </c>
      <c r="F46" s="469" t="n">
        <f aca="false">'Entity 3 Out'!F29</f>
        <v>136436.25</v>
      </c>
      <c r="G46" s="489"/>
      <c r="H46" s="20" t="str">
        <f aca="false">H40</f>
        <v>Entity 3</v>
      </c>
      <c r="I46" s="2"/>
      <c r="J46" s="468" t="n">
        <f aca="false">C46</f>
        <v>47936.875</v>
      </c>
      <c r="K46" s="468" t="n">
        <f aca="false">D46</f>
        <v>80770</v>
      </c>
      <c r="L46" s="468" t="n">
        <f aca="false">E46</f>
        <v>108603.125</v>
      </c>
      <c r="M46" s="469" t="n">
        <f aca="false">F46</f>
        <v>136436.25</v>
      </c>
      <c r="N46" s="489"/>
      <c r="O46" s="20" t="str">
        <f aca="false">O40</f>
        <v>Entity 3</v>
      </c>
      <c r="P46" s="2"/>
      <c r="Q46" s="468" t="n">
        <f aca="false">C46</f>
        <v>47936.875</v>
      </c>
      <c r="R46" s="468" t="n">
        <f aca="false">D46</f>
        <v>80770</v>
      </c>
      <c r="S46" s="468" t="n">
        <f aca="false">E46</f>
        <v>108603.125</v>
      </c>
      <c r="T46" s="469" t="n">
        <f aca="false">F46</f>
        <v>136436.25</v>
      </c>
      <c r="U46" s="489"/>
      <c r="V46" s="20" t="str">
        <f aca="false">V40</f>
        <v>Entity 3</v>
      </c>
      <c r="W46" s="2"/>
      <c r="X46" s="468" t="n">
        <f aca="false">Q46</f>
        <v>47936.875</v>
      </c>
      <c r="Y46" s="468" t="n">
        <f aca="false">R46</f>
        <v>80770</v>
      </c>
      <c r="Z46" s="468" t="n">
        <f aca="false">S46</f>
        <v>108603.125</v>
      </c>
      <c r="AA46" s="469" t="n">
        <f aca="false">T46</f>
        <v>136436.25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Format="false" ht="13.5" hidden="false" customHeight="true" outlineLevel="0" collapsed="false">
      <c r="A47" s="68"/>
      <c r="B47" s="498" t="str">
        <f aca="false">B41</f>
        <v>Total</v>
      </c>
      <c r="C47" s="499" t="n">
        <f aca="false">SUM(C44:C46)</f>
        <v>449157723.320474</v>
      </c>
      <c r="D47" s="499" t="n">
        <f aca="false">SUM(D44:D46)</f>
        <v>571125713.454069</v>
      </c>
      <c r="E47" s="499" t="n">
        <f aca="false">SUM(E44:E46)</f>
        <v>605934904.469032</v>
      </c>
      <c r="F47" s="500" t="n">
        <f aca="false">SUM(F44:F46)</f>
        <v>645285929.923069</v>
      </c>
      <c r="G47" s="489"/>
      <c r="H47" s="68"/>
      <c r="I47" s="498" t="str">
        <f aca="false">I41</f>
        <v>Total</v>
      </c>
      <c r="J47" s="499" t="n">
        <f aca="false">SUM(J44:J46)</f>
        <v>447747723.320474</v>
      </c>
      <c r="K47" s="499" t="n">
        <f aca="false">SUM(K44:K46)</f>
        <v>354893713.454069</v>
      </c>
      <c r="L47" s="499" t="n">
        <f aca="false">SUM(L44:L46)</f>
        <v>378891304.469032</v>
      </c>
      <c r="M47" s="500" t="n">
        <f aca="false">SUM(M44:M46)</f>
        <v>406890149.923069</v>
      </c>
      <c r="N47" s="489"/>
      <c r="O47" s="68"/>
      <c r="P47" s="498" t="str">
        <f aca="false">P41</f>
        <v>Total</v>
      </c>
      <c r="Q47" s="499" t="n">
        <f aca="false">SUM(Q44:Q46)</f>
        <v>402125569.514237</v>
      </c>
      <c r="R47" s="499" t="n">
        <f aca="false">SUM(R44:R46)</f>
        <v>541066058.460625</v>
      </c>
      <c r="S47" s="499" t="n">
        <f aca="false">SUM(S44:S46)</f>
        <v>575723477.424906</v>
      </c>
      <c r="T47" s="500" t="n">
        <f aca="false">SUM(T44:T46)</f>
        <v>615523045.907552</v>
      </c>
      <c r="U47" s="489"/>
      <c r="V47" s="68"/>
      <c r="W47" s="498" t="str">
        <f aca="false">W41</f>
        <v>Total</v>
      </c>
      <c r="X47" s="499" t="n">
        <f aca="false">SUM(X44:X46)</f>
        <v>406655672.972692</v>
      </c>
      <c r="Y47" s="499" t="n">
        <f aca="false">SUM(Y44:Y46)</f>
        <v>542538732.045857</v>
      </c>
      <c r="Z47" s="499" t="n">
        <f aca="false">SUM(Z44:Z46)</f>
        <v>577851054.066701</v>
      </c>
      <c r="AA47" s="500" t="n">
        <f aca="false">SUM(AA44:AA46)</f>
        <v>618600175.327244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customFormat="false" ht="12.75" hidden="false" customHeight="true" outlineLevel="0" collapsed="false">
      <c r="A48" s="489"/>
      <c r="B48" s="489"/>
      <c r="C48" s="489"/>
      <c r="D48" s="489"/>
      <c r="E48" s="489"/>
      <c r="F48" s="489"/>
      <c r="G48" s="489"/>
      <c r="H48" s="489"/>
      <c r="I48" s="489"/>
      <c r="J48" s="489"/>
      <c r="K48" s="489"/>
      <c r="L48" s="489"/>
      <c r="M48" s="489"/>
      <c r="N48" s="489"/>
      <c r="O48" s="489"/>
      <c r="P48" s="489"/>
      <c r="Q48" s="489"/>
      <c r="R48" s="489"/>
      <c r="S48" s="489"/>
      <c r="T48" s="489"/>
      <c r="U48" s="489"/>
      <c r="V48" s="489"/>
      <c r="W48" s="489"/>
      <c r="X48" s="489"/>
      <c r="Y48" s="489"/>
      <c r="Z48" s="489"/>
      <c r="AA48" s="489"/>
      <c r="AB48" s="489"/>
      <c r="AC48" s="489"/>
      <c r="AD48" s="489"/>
      <c r="AE48" s="489"/>
      <c r="AF48" s="489"/>
      <c r="AG48" s="489"/>
      <c r="AH48" s="489"/>
      <c r="AI48" s="489"/>
      <c r="AJ48" s="489"/>
      <c r="AK48" s="489"/>
    </row>
  </sheetData>
  <mergeCells count="12">
    <mergeCell ref="A1:F1"/>
    <mergeCell ref="H1:M1"/>
    <mergeCell ref="O1:T1"/>
    <mergeCell ref="V1:AA1"/>
    <mergeCell ref="A2:F2"/>
    <mergeCell ref="H2:M2"/>
    <mergeCell ref="O2:T2"/>
    <mergeCell ref="V2:AA2"/>
    <mergeCell ref="A3:F3"/>
    <mergeCell ref="H3:M3"/>
    <mergeCell ref="O3:T3"/>
    <mergeCell ref="V3:AA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3.01"/>
    <col collapsed="false" customWidth="true" hidden="false" outlineLevel="0" max="3" min="3" style="0" width="14.14"/>
    <col collapsed="false" customWidth="true" hidden="false" outlineLevel="0" max="4" min="4" style="0" width="16.87"/>
    <col collapsed="false" customWidth="true" hidden="false" outlineLevel="0" max="5" min="5" style="0" width="19.3"/>
    <col collapsed="false" customWidth="true" hidden="false" outlineLevel="0" max="6" min="6" style="0" width="15.14"/>
    <col collapsed="false" customWidth="true" hidden="false" outlineLevel="0" max="7" min="7" style="0" width="1.86"/>
    <col collapsed="false" customWidth="true" hidden="false" outlineLevel="0" max="8" min="8" style="0" width="9"/>
    <col collapsed="false" customWidth="true" hidden="false" outlineLevel="0" max="9" min="9" style="0" width="23.14"/>
    <col collapsed="false" customWidth="true" hidden="false" outlineLevel="0" max="10" min="10" style="0" width="23.01"/>
    <col collapsed="false" customWidth="true" hidden="false" outlineLevel="0" max="11" min="11" style="0" width="16.87"/>
    <col collapsed="false" customWidth="true" hidden="false" outlineLevel="0" max="12" min="12" style="0" width="19.3"/>
    <col collapsed="false" customWidth="true" hidden="false" outlineLevel="0" max="13" min="13" style="0" width="15.14"/>
    <col collapsed="false" customWidth="true" hidden="false" outlineLevel="0" max="14" min="14" style="0" width="9.13"/>
    <col collapsed="false" customWidth="true" hidden="false" outlineLevel="0" max="23" min="15" style="0" width="9"/>
    <col collapsed="false" customWidth="true" hidden="false" outlineLevel="0" max="26" min="24" style="0" width="7"/>
    <col collapsed="false" customWidth="true" hidden="false" outlineLevel="0" max="1025" min="27" style="0" width="14.43"/>
  </cols>
  <sheetData>
    <row r="1" customFormat="false" ht="12.75" hidden="false" customHeight="true" outlineLevel="0" collapsed="false">
      <c r="A1" s="501" t="s">
        <v>364</v>
      </c>
      <c r="B1" s="501"/>
      <c r="C1" s="501"/>
      <c r="D1" s="501"/>
      <c r="E1" s="501"/>
      <c r="F1" s="501"/>
      <c r="G1" s="489"/>
      <c r="H1" s="501" t="s">
        <v>365</v>
      </c>
      <c r="I1" s="501"/>
      <c r="J1" s="501"/>
      <c r="K1" s="501"/>
      <c r="L1" s="501"/>
      <c r="M1" s="501"/>
      <c r="N1" s="48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502" t="str">
        <f aca="false">Summary!A2</f>
        <v>All Three Entities</v>
      </c>
      <c r="B2" s="502"/>
      <c r="C2" s="502"/>
      <c r="D2" s="502"/>
      <c r="E2" s="502"/>
      <c r="F2" s="502"/>
      <c r="G2" s="489"/>
      <c r="H2" s="502" t="str">
        <f aca="false">A2</f>
        <v>All Three Entities</v>
      </c>
      <c r="I2" s="502"/>
      <c r="J2" s="502"/>
      <c r="K2" s="502"/>
      <c r="L2" s="502"/>
      <c r="M2" s="502"/>
      <c r="N2" s="48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56"/>
      <c r="B3" s="2"/>
      <c r="C3" s="2"/>
      <c r="D3" s="2"/>
      <c r="E3" s="2"/>
      <c r="F3" s="25"/>
      <c r="G3" s="489"/>
      <c r="H3" s="56"/>
      <c r="I3" s="2"/>
      <c r="J3" s="2"/>
      <c r="K3" s="2"/>
      <c r="L3" s="2"/>
      <c r="M3" s="25"/>
      <c r="N3" s="489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185" t="s">
        <v>0</v>
      </c>
      <c r="B4" s="2"/>
      <c r="C4" s="2"/>
      <c r="D4" s="2"/>
      <c r="E4" s="2"/>
      <c r="F4" s="25"/>
      <c r="G4" s="489"/>
      <c r="H4" s="185" t="str">
        <f aca="false">A4</f>
        <v>Entity 1</v>
      </c>
      <c r="I4" s="2"/>
      <c r="J4" s="2"/>
      <c r="K4" s="2"/>
      <c r="L4" s="2"/>
      <c r="M4" s="25"/>
      <c r="N4" s="48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2.75" hidden="false" customHeight="true" outlineLevel="0" collapsed="false">
      <c r="A5" s="56"/>
      <c r="B5" s="503" t="s">
        <v>366</v>
      </c>
      <c r="C5" s="504" t="n">
        <f aca="false">Inputs!C180</f>
        <v>1000</v>
      </c>
      <c r="D5" s="503"/>
      <c r="E5" s="90" t="s">
        <v>367</v>
      </c>
      <c r="F5" s="505" t="n">
        <f aca="false">Inputs!F180</f>
        <v>0</v>
      </c>
      <c r="G5" s="489"/>
      <c r="H5" s="56"/>
      <c r="I5" s="503" t="str">
        <f aca="false">B5</f>
        <v>Average Customer Worth</v>
      </c>
      <c r="J5" s="504" t="n">
        <f aca="false">C5</f>
        <v>1000</v>
      </c>
      <c r="K5" s="503"/>
      <c r="L5" s="90" t="s">
        <v>367</v>
      </c>
      <c r="M5" s="505" t="n">
        <f aca="false">F5</f>
        <v>0</v>
      </c>
      <c r="N5" s="48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56"/>
      <c r="B6" s="2"/>
      <c r="C6" s="2"/>
      <c r="D6" s="2"/>
      <c r="E6" s="2"/>
      <c r="F6" s="25"/>
      <c r="G6" s="489"/>
      <c r="H6" s="56"/>
      <c r="I6" s="2"/>
      <c r="J6" s="2"/>
      <c r="K6" s="2"/>
      <c r="L6" s="2"/>
      <c r="M6" s="25"/>
      <c r="N6" s="489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56"/>
      <c r="B7" s="2"/>
      <c r="C7" s="1" t="s">
        <v>368</v>
      </c>
      <c r="D7" s="1" t="s">
        <v>369</v>
      </c>
      <c r="E7" s="1" t="s">
        <v>370</v>
      </c>
      <c r="F7" s="467" t="s">
        <v>371</v>
      </c>
      <c r="G7" s="489"/>
      <c r="H7" s="56"/>
      <c r="I7" s="2"/>
      <c r="J7" s="27" t="s">
        <v>372</v>
      </c>
      <c r="K7" s="27" t="s">
        <v>369</v>
      </c>
      <c r="L7" s="27" t="s">
        <v>370</v>
      </c>
      <c r="M7" s="28" t="s">
        <v>371</v>
      </c>
      <c r="N7" s="489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2.75" hidden="false" customHeight="true" outlineLevel="0" collapsed="false">
      <c r="A8" s="56"/>
      <c r="B8" s="47" t="str">
        <f aca="false">'Entity 1 Outputs'!Q7</f>
        <v>Brand 1</v>
      </c>
      <c r="C8" s="5" t="n">
        <f aca="false">'Entity 1 Outputs'!T7</f>
        <v>15000</v>
      </c>
      <c r="D8" s="402" t="n">
        <f aca="false">$C$5*C8</f>
        <v>15000000</v>
      </c>
      <c r="E8" s="402" t="n">
        <f aca="false">D8*Inputs!$F$180</f>
        <v>0</v>
      </c>
      <c r="F8" s="403" t="n">
        <f aca="false">D8-E8</f>
        <v>15000000</v>
      </c>
      <c r="G8" s="489"/>
      <c r="H8" s="56"/>
      <c r="I8" s="47" t="str">
        <f aca="false">B8</f>
        <v>Brand 1</v>
      </c>
      <c r="J8" s="5" t="n">
        <f aca="false">'Entity 1 Outputs'!W7</f>
        <v>45729.375</v>
      </c>
      <c r="K8" s="402" t="n">
        <f aca="false">$C$5*J8</f>
        <v>45729375</v>
      </c>
      <c r="L8" s="402" t="n">
        <f aca="false">K8*Inputs!$F$180</f>
        <v>0</v>
      </c>
      <c r="M8" s="403" t="n">
        <f aca="false">K8-L8</f>
        <v>45729375</v>
      </c>
      <c r="N8" s="489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2.75" hidden="false" customHeight="true" outlineLevel="0" collapsed="false">
      <c r="A9" s="56"/>
      <c r="B9" s="47" t="str">
        <f aca="false">'Entity 1 Outputs'!Q8</f>
        <v>Brand 2</v>
      </c>
      <c r="C9" s="5" t="n">
        <f aca="false">'Entity 1 Outputs'!T8</f>
        <v>10000</v>
      </c>
      <c r="D9" s="402" t="n">
        <f aca="false">$C$5*C9</f>
        <v>10000000</v>
      </c>
      <c r="E9" s="402" t="n">
        <f aca="false">D9*Inputs!$F$180</f>
        <v>0</v>
      </c>
      <c r="F9" s="403" t="n">
        <f aca="false">D9-E9</f>
        <v>10000000</v>
      </c>
      <c r="G9" s="489"/>
      <c r="H9" s="56"/>
      <c r="I9" s="47" t="str">
        <f aca="false">B9</f>
        <v>Brand 2</v>
      </c>
      <c r="J9" s="5" t="n">
        <f aca="false">'Entity 1 Outputs'!W8</f>
        <v>30486.25</v>
      </c>
      <c r="K9" s="402" t="n">
        <f aca="false">$C$5*J9</f>
        <v>30486250</v>
      </c>
      <c r="L9" s="402" t="n">
        <f aca="false">K9*Inputs!$F$180</f>
        <v>0</v>
      </c>
      <c r="M9" s="403" t="n">
        <f aca="false">K9-L9</f>
        <v>30486250</v>
      </c>
      <c r="N9" s="489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.75" hidden="false" customHeight="true" outlineLevel="0" collapsed="false">
      <c r="A10" s="56"/>
      <c r="B10" s="47" t="str">
        <f aca="false">'Entity 1 Outputs'!Q9</f>
        <v>Brand 3</v>
      </c>
      <c r="C10" s="5" t="n">
        <f aca="false">'Entity 1 Outputs'!T9</f>
        <v>5000</v>
      </c>
      <c r="D10" s="402" t="n">
        <f aca="false">$C$5*C10</f>
        <v>5000000</v>
      </c>
      <c r="E10" s="402" t="n">
        <f aca="false">D10*Inputs!$F$180</f>
        <v>0</v>
      </c>
      <c r="F10" s="403" t="n">
        <f aca="false">D10-E10</f>
        <v>5000000</v>
      </c>
      <c r="G10" s="489"/>
      <c r="H10" s="56"/>
      <c r="I10" s="47" t="str">
        <f aca="false">B10</f>
        <v>Brand 3</v>
      </c>
      <c r="J10" s="5" t="n">
        <f aca="false">'Entity 1 Outputs'!W9</f>
        <v>15243.125</v>
      </c>
      <c r="K10" s="402" t="n">
        <f aca="false">$C$5*J10</f>
        <v>15243125</v>
      </c>
      <c r="L10" s="402" t="n">
        <f aca="false">K10*Inputs!$F$180</f>
        <v>0</v>
      </c>
      <c r="M10" s="403" t="n">
        <f aca="false">K10-L10</f>
        <v>15243125</v>
      </c>
      <c r="N10" s="489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56"/>
      <c r="B11" s="47" t="str">
        <f aca="false">'Entity 1 Outputs'!Q10</f>
        <v>Brand 4</v>
      </c>
      <c r="C11" s="5" t="n">
        <f aca="false">'Entity 1 Outputs'!T10</f>
        <v>5000</v>
      </c>
      <c r="D11" s="402" t="n">
        <f aca="false">$C$5*C11</f>
        <v>5000000</v>
      </c>
      <c r="E11" s="402" t="n">
        <f aca="false">D11*Inputs!$F$180</f>
        <v>0</v>
      </c>
      <c r="F11" s="403" t="n">
        <f aca="false">D11-E11</f>
        <v>5000000</v>
      </c>
      <c r="G11" s="489"/>
      <c r="H11" s="56"/>
      <c r="I11" s="47" t="str">
        <f aca="false">B11</f>
        <v>Brand 4</v>
      </c>
      <c r="J11" s="5" t="n">
        <f aca="false">'Entity 1 Outputs'!W10</f>
        <v>15243.125</v>
      </c>
      <c r="K11" s="402" t="n">
        <f aca="false">$C$5*J11</f>
        <v>15243125</v>
      </c>
      <c r="L11" s="402" t="n">
        <f aca="false">K11*Inputs!$F$180</f>
        <v>0</v>
      </c>
      <c r="M11" s="403" t="n">
        <f aca="false">K11-L11</f>
        <v>15243125</v>
      </c>
      <c r="N11" s="48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.75" hidden="false" customHeight="true" outlineLevel="0" collapsed="false">
      <c r="A12" s="56"/>
      <c r="B12" s="47" t="str">
        <f aca="false">'Entity 1 Outputs'!Q11</f>
        <v>Brand 5</v>
      </c>
      <c r="C12" s="5" t="n">
        <f aca="false">'Entity 1 Outputs'!T11</f>
        <v>5000</v>
      </c>
      <c r="D12" s="402" t="n">
        <f aca="false">$C$5*C12</f>
        <v>5000000</v>
      </c>
      <c r="E12" s="402" t="n">
        <f aca="false">D12*Inputs!$F$180</f>
        <v>0</v>
      </c>
      <c r="F12" s="403" t="n">
        <f aca="false">D12-E12</f>
        <v>5000000</v>
      </c>
      <c r="G12" s="489"/>
      <c r="H12" s="56"/>
      <c r="I12" s="47" t="str">
        <f aca="false">B12</f>
        <v>Brand 5</v>
      </c>
      <c r="J12" s="5" t="n">
        <f aca="false">'Entity 1 Outputs'!W11</f>
        <v>15243.125</v>
      </c>
      <c r="K12" s="402" t="n">
        <f aca="false">$C$5*J12</f>
        <v>15243125</v>
      </c>
      <c r="L12" s="402" t="n">
        <f aca="false">K12*Inputs!$F$180</f>
        <v>0</v>
      </c>
      <c r="M12" s="403" t="n">
        <f aca="false">K12-L12</f>
        <v>15243125</v>
      </c>
      <c r="N12" s="48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>
      <c r="A13" s="56"/>
      <c r="B13" s="47" t="str">
        <f aca="false">'Entity 1 Outputs'!Q12</f>
        <v>Brand 6</v>
      </c>
      <c r="C13" s="5" t="n">
        <f aca="false">'Entity 1 Outputs'!T12</f>
        <v>5000</v>
      </c>
      <c r="D13" s="402" t="n">
        <f aca="false">$C$5*C13</f>
        <v>5000000</v>
      </c>
      <c r="E13" s="402" t="n">
        <f aca="false">D13*Inputs!$F$180</f>
        <v>0</v>
      </c>
      <c r="F13" s="403" t="n">
        <f aca="false">D13-E13</f>
        <v>5000000</v>
      </c>
      <c r="G13" s="489"/>
      <c r="H13" s="56"/>
      <c r="I13" s="47" t="str">
        <f aca="false">B13</f>
        <v>Brand 6</v>
      </c>
      <c r="J13" s="5" t="n">
        <f aca="false">'Entity 1 Outputs'!W12</f>
        <v>15243.125</v>
      </c>
      <c r="K13" s="402" t="n">
        <f aca="false">$C$5*J13</f>
        <v>15243125</v>
      </c>
      <c r="L13" s="402" t="n">
        <f aca="false">K13*Inputs!$F$180</f>
        <v>0</v>
      </c>
      <c r="M13" s="403" t="n">
        <f aca="false">K13-L13</f>
        <v>15243125</v>
      </c>
      <c r="N13" s="489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.75" hidden="false" customHeight="true" outlineLevel="0" collapsed="false">
      <c r="A14" s="56"/>
      <c r="B14" s="47" t="str">
        <f aca="false">'Entity 1 Outputs'!Q13</f>
        <v>Brand 7</v>
      </c>
      <c r="C14" s="5" t="n">
        <f aca="false">'Entity 1 Outputs'!T13</f>
        <v>869.18</v>
      </c>
      <c r="D14" s="402" t="n">
        <f aca="false">$C$5*C14</f>
        <v>869180</v>
      </c>
      <c r="E14" s="402" t="n">
        <f aca="false">D14*Inputs!$F$180</f>
        <v>0</v>
      </c>
      <c r="F14" s="403" t="n">
        <f aca="false">D14-E14</f>
        <v>869180</v>
      </c>
      <c r="G14" s="489"/>
      <c r="H14" s="56"/>
      <c r="I14" s="47" t="str">
        <f aca="false">B14</f>
        <v>Brand 7</v>
      </c>
      <c r="J14" s="5" t="n">
        <f aca="false">'Entity 1 Outputs'!W13</f>
        <v>2649.803878</v>
      </c>
      <c r="K14" s="402" t="n">
        <f aca="false">$C$5*J14</f>
        <v>2649803.878</v>
      </c>
      <c r="L14" s="402" t="n">
        <f aca="false">K14*Inputs!$F$180</f>
        <v>0</v>
      </c>
      <c r="M14" s="403" t="n">
        <f aca="false">K14-L14</f>
        <v>2649803.878</v>
      </c>
      <c r="N14" s="489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.75" hidden="false" customHeight="true" outlineLevel="0" collapsed="false">
      <c r="A15" s="56"/>
      <c r="B15" s="47" t="str">
        <f aca="false">'Entity 1 Outputs'!Q14</f>
        <v>Brand 8</v>
      </c>
      <c r="C15" s="5" t="n">
        <f aca="false">'Entity 1 Outputs'!T14</f>
        <v>5000</v>
      </c>
      <c r="D15" s="402" t="n">
        <f aca="false">$C$5*C15</f>
        <v>5000000</v>
      </c>
      <c r="E15" s="402" t="n">
        <f aca="false">D15*Inputs!$F$180</f>
        <v>0</v>
      </c>
      <c r="F15" s="403" t="n">
        <f aca="false">D15-E15</f>
        <v>5000000</v>
      </c>
      <c r="G15" s="489"/>
      <c r="H15" s="56"/>
      <c r="I15" s="47" t="str">
        <f aca="false">B15</f>
        <v>Brand 8</v>
      </c>
      <c r="J15" s="5" t="n">
        <f aca="false">'Entity 1 Outputs'!W14</f>
        <v>15243.125</v>
      </c>
      <c r="K15" s="402" t="n">
        <f aca="false">$C$5*J15</f>
        <v>15243125</v>
      </c>
      <c r="L15" s="402" t="n">
        <f aca="false">K15*Inputs!$F$180</f>
        <v>0</v>
      </c>
      <c r="M15" s="403" t="n">
        <f aca="false">K15-L15</f>
        <v>15243125</v>
      </c>
      <c r="N15" s="489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.75" hidden="false" customHeight="true" outlineLevel="0" collapsed="false">
      <c r="A16" s="56"/>
      <c r="B16" s="47" t="str">
        <f aca="false">'Entity 1 Outputs'!Q15</f>
        <v>Brand 9</v>
      </c>
      <c r="C16" s="72" t="n">
        <f aca="false">'Entity 1 Outputs'!T15</f>
        <v>5000</v>
      </c>
      <c r="D16" s="468" t="n">
        <f aca="false">$C$5*C16</f>
        <v>5000000</v>
      </c>
      <c r="E16" s="468" t="n">
        <f aca="false">D16*Inputs!$F$180</f>
        <v>0</v>
      </c>
      <c r="F16" s="469" t="n">
        <f aca="false">D16-E16</f>
        <v>5000000</v>
      </c>
      <c r="G16" s="489"/>
      <c r="H16" s="56"/>
      <c r="I16" s="47" t="str">
        <f aca="false">B16</f>
        <v>Brand 9</v>
      </c>
      <c r="J16" s="72" t="n">
        <f aca="false">'Entity 1 Outputs'!W15</f>
        <v>15243.125</v>
      </c>
      <c r="K16" s="468" t="n">
        <f aca="false">$C$5*J16</f>
        <v>15243125</v>
      </c>
      <c r="L16" s="468" t="n">
        <f aca="false">K16*Inputs!$F$180</f>
        <v>0</v>
      </c>
      <c r="M16" s="469" t="n">
        <f aca="false">K16-L16</f>
        <v>15243125</v>
      </c>
      <c r="N16" s="48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.75" hidden="false" customHeight="true" outlineLevel="0" collapsed="false">
      <c r="A17" s="56"/>
      <c r="B17" s="47" t="s">
        <v>77</v>
      </c>
      <c r="C17" s="5" t="n">
        <f aca="false">'Entity 1 Outputs'!T16</f>
        <v>55869.18</v>
      </c>
      <c r="D17" s="402" t="n">
        <f aca="false">$C$5*C17</f>
        <v>55869180</v>
      </c>
      <c r="E17" s="402" t="n">
        <f aca="false">D17*Inputs!$F$180</f>
        <v>0</v>
      </c>
      <c r="F17" s="403" t="n">
        <f aca="false">D17-E17</f>
        <v>55869180</v>
      </c>
      <c r="G17" s="489"/>
      <c r="H17" s="56"/>
      <c r="I17" s="47" t="s">
        <v>77</v>
      </c>
      <c r="J17" s="5" t="n">
        <f aca="false">SUM(J8:J16)</f>
        <v>170324.1789</v>
      </c>
      <c r="K17" s="402" t="n">
        <f aca="false">$C$5*J17</f>
        <v>170324178.9</v>
      </c>
      <c r="L17" s="402" t="n">
        <f aca="false">K17*Inputs!$F$180</f>
        <v>0</v>
      </c>
      <c r="M17" s="403" t="n">
        <f aca="false">K17-L17</f>
        <v>170324178.9</v>
      </c>
      <c r="N17" s="489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.75" hidden="false" customHeight="true" outlineLevel="0" collapsed="false">
      <c r="A18" s="56"/>
      <c r="B18" s="2"/>
      <c r="C18" s="2"/>
      <c r="D18" s="2"/>
      <c r="E18" s="2"/>
      <c r="F18" s="25"/>
      <c r="G18" s="489"/>
      <c r="H18" s="56"/>
      <c r="I18" s="2"/>
      <c r="J18" s="2"/>
      <c r="K18" s="2"/>
      <c r="L18" s="2"/>
      <c r="M18" s="25"/>
      <c r="N18" s="48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.75" hidden="false" customHeight="true" outlineLevel="0" collapsed="false">
      <c r="A19" s="185" t="s">
        <v>179</v>
      </c>
      <c r="B19" s="2"/>
      <c r="C19" s="2"/>
      <c r="D19" s="2"/>
      <c r="E19" s="2"/>
      <c r="F19" s="25"/>
      <c r="G19" s="489"/>
      <c r="H19" s="185" t="str">
        <f aca="false">A19</f>
        <v>Entity 2</v>
      </c>
      <c r="I19" s="2"/>
      <c r="J19" s="2"/>
      <c r="K19" s="2"/>
      <c r="L19" s="2"/>
      <c r="M19" s="25"/>
      <c r="N19" s="48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.75" hidden="false" customHeight="true" outlineLevel="0" collapsed="false">
      <c r="A20" s="56"/>
      <c r="B20" s="503" t="s">
        <v>373</v>
      </c>
      <c r="C20" s="503"/>
      <c r="D20" s="504" t="n">
        <f aca="false">Inputs!C181</f>
        <v>1000</v>
      </c>
      <c r="E20" s="90" t="s">
        <v>374</v>
      </c>
      <c r="F20" s="505" t="n">
        <f aca="false">Inputs!F181</f>
        <v>0.5</v>
      </c>
      <c r="G20" s="489"/>
      <c r="H20" s="56"/>
      <c r="I20" s="503" t="str">
        <f aca="false">B20</f>
        <v>Average Non-Com. Cust. Worth</v>
      </c>
      <c r="J20" s="503"/>
      <c r="K20" s="504" t="n">
        <f aca="false">D20</f>
        <v>1000</v>
      </c>
      <c r="L20" s="90" t="s">
        <v>374</v>
      </c>
      <c r="M20" s="505" t="n">
        <f aca="false">F20</f>
        <v>0.5</v>
      </c>
      <c r="N20" s="48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2.75" hidden="false" customHeight="true" outlineLevel="0" collapsed="false">
      <c r="A21" s="56"/>
      <c r="B21" s="503" t="s">
        <v>375</v>
      </c>
      <c r="C21" s="503"/>
      <c r="D21" s="504" t="n">
        <f aca="false">Inputs!D181</f>
        <v>1000</v>
      </c>
      <c r="E21" s="503"/>
      <c r="F21" s="506"/>
      <c r="G21" s="489"/>
      <c r="H21" s="56"/>
      <c r="I21" s="503" t="str">
        <f aca="false">B21</f>
        <v>Average Com. Cust Worth</v>
      </c>
      <c r="J21" s="503"/>
      <c r="K21" s="504" t="n">
        <f aca="false">D21</f>
        <v>1000</v>
      </c>
      <c r="L21" s="503"/>
      <c r="M21" s="506"/>
      <c r="N21" s="48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.75" hidden="false" customHeight="true" outlineLevel="0" collapsed="false">
      <c r="A22" s="56"/>
      <c r="B22" s="2"/>
      <c r="C22" s="2"/>
      <c r="D22" s="2"/>
      <c r="E22" s="2"/>
      <c r="F22" s="25"/>
      <c r="G22" s="489"/>
      <c r="H22" s="56"/>
      <c r="I22" s="2"/>
      <c r="J22" s="2"/>
      <c r="K22" s="2"/>
      <c r="L22" s="2"/>
      <c r="M22" s="25"/>
      <c r="N22" s="489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.75" hidden="false" customHeight="true" outlineLevel="0" collapsed="false">
      <c r="A23" s="56"/>
      <c r="B23" s="2"/>
      <c r="C23" s="27" t="str">
        <f aca="false">C7</f>
        <v>Year 1 Subs</v>
      </c>
      <c r="D23" s="27" t="str">
        <f aca="false">D7</f>
        <v>Subscriber Worth</v>
      </c>
      <c r="E23" s="27" t="str">
        <f aca="false">E7</f>
        <v>Joint-Venture Value</v>
      </c>
      <c r="F23" s="28" t="str">
        <f aca="false">F7</f>
        <v>Retained Value</v>
      </c>
      <c r="G23" s="489"/>
      <c r="H23" s="56"/>
      <c r="I23" s="2"/>
      <c r="J23" s="27" t="str">
        <f aca="false">J7</f>
        <v>Year 4 Subs</v>
      </c>
      <c r="K23" s="27" t="str">
        <f aca="false">K7</f>
        <v>Subscriber Worth</v>
      </c>
      <c r="L23" s="27" t="str">
        <f aca="false">L7</f>
        <v>Joint-Venture Value</v>
      </c>
      <c r="M23" s="28" t="str">
        <f aca="false">M7</f>
        <v>Retained Value</v>
      </c>
      <c r="N23" s="48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.75" hidden="false" customHeight="true" outlineLevel="0" collapsed="false">
      <c r="A24" s="56"/>
      <c r="B24" s="47" t="str">
        <f aca="false">'Entity 2 Out'!Q7</f>
        <v>Product 1</v>
      </c>
      <c r="C24" s="5" t="n">
        <f aca="false">'Entity 2 Out'!T7</f>
        <v>2133333.333</v>
      </c>
      <c r="D24" s="402" t="n">
        <f aca="false">$D$20*C24</f>
        <v>2133333333</v>
      </c>
      <c r="E24" s="402" t="n">
        <f aca="false">$F$20*D24</f>
        <v>1066666666.5</v>
      </c>
      <c r="F24" s="403" t="n">
        <f aca="false">D24-E24</f>
        <v>1066666666.5</v>
      </c>
      <c r="G24" s="489"/>
      <c r="H24" s="56"/>
      <c r="I24" s="47" t="str">
        <f aca="false">B24</f>
        <v>Product 1</v>
      </c>
      <c r="J24" s="5" t="n">
        <f aca="false">'Entity 2 Out'!W7</f>
        <v>2469600</v>
      </c>
      <c r="K24" s="402" t="n">
        <f aca="false">$D$20*J24</f>
        <v>2469600000</v>
      </c>
      <c r="L24" s="402" t="n">
        <f aca="false">$F$20*K24</f>
        <v>1234800000</v>
      </c>
      <c r="M24" s="403" t="n">
        <f aca="false">K24-L24</f>
        <v>1234800000</v>
      </c>
      <c r="N24" s="48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.75" hidden="false" customHeight="true" outlineLevel="0" collapsed="false">
      <c r="A25" s="56"/>
      <c r="B25" s="47" t="str">
        <f aca="false">'Entity 2 Out'!Q8</f>
        <v>Product 2</v>
      </c>
      <c r="C25" s="5" t="n">
        <f aca="false">'Entity 2 Out'!T8</f>
        <v>266666.6667</v>
      </c>
      <c r="D25" s="402" t="n">
        <f aca="false">$D$20*C25</f>
        <v>266666666.7</v>
      </c>
      <c r="E25" s="402" t="n">
        <f aca="false">$F$20*D25</f>
        <v>133333333.35</v>
      </c>
      <c r="F25" s="403" t="n">
        <f aca="false">D25-E25</f>
        <v>133333333.35</v>
      </c>
      <c r="G25" s="489"/>
      <c r="H25" s="56"/>
      <c r="I25" s="47" t="str">
        <f aca="false">B25</f>
        <v>Product 2</v>
      </c>
      <c r="J25" s="5" t="n">
        <f aca="false">'Entity 2 Out'!W8</f>
        <v>308700</v>
      </c>
      <c r="K25" s="402" t="n">
        <f aca="false">$D$20*J25</f>
        <v>308700000</v>
      </c>
      <c r="L25" s="402" t="n">
        <f aca="false">$F$20*K25</f>
        <v>154350000</v>
      </c>
      <c r="M25" s="403" t="n">
        <f aca="false">K25-L25</f>
        <v>154350000</v>
      </c>
      <c r="N25" s="48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.75" hidden="false" customHeight="true" outlineLevel="0" collapsed="false">
      <c r="A26" s="56"/>
      <c r="B26" s="47" t="str">
        <f aca="false">'Entity 2 Out'!Q9</f>
        <v>Product 3</v>
      </c>
      <c r="C26" s="5" t="n">
        <f aca="false">'Entity 2 Out'!T9</f>
        <v>266666.6667</v>
      </c>
      <c r="D26" s="402" t="n">
        <f aca="false">$D$20*C26</f>
        <v>266666666.7</v>
      </c>
      <c r="E26" s="402" t="n">
        <f aca="false">$F$20*D26</f>
        <v>133333333.35</v>
      </c>
      <c r="F26" s="403" t="n">
        <f aca="false">D26-E26</f>
        <v>133333333.35</v>
      </c>
      <c r="G26" s="489"/>
      <c r="H26" s="56"/>
      <c r="I26" s="47" t="str">
        <f aca="false">B26</f>
        <v>Product 3</v>
      </c>
      <c r="J26" s="5" t="n">
        <f aca="false">'Entity 2 Out'!W9</f>
        <v>308700</v>
      </c>
      <c r="K26" s="402" t="n">
        <f aca="false">$D$20*J26</f>
        <v>308700000</v>
      </c>
      <c r="L26" s="402" t="n">
        <f aca="false">$F$20*K26</f>
        <v>154350000</v>
      </c>
      <c r="M26" s="403" t="n">
        <f aca="false">K26-L26</f>
        <v>154350000</v>
      </c>
      <c r="N26" s="489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.75" hidden="false" customHeight="true" outlineLevel="0" collapsed="false">
      <c r="A27" s="56"/>
      <c r="B27" s="47" t="str">
        <f aca="false">'Entity 2 Out'!Q10</f>
        <v>Prodcut 4</v>
      </c>
      <c r="C27" s="72" t="n">
        <f aca="false">'Entity 2 Out'!T10</f>
        <v>1000000</v>
      </c>
      <c r="D27" s="468" t="n">
        <f aca="false">D21*C27</f>
        <v>1000000000</v>
      </c>
      <c r="E27" s="468" t="n">
        <f aca="false">$F$20*D27</f>
        <v>500000000</v>
      </c>
      <c r="F27" s="469" t="n">
        <f aca="false">D27-E27</f>
        <v>500000000</v>
      </c>
      <c r="G27" s="489"/>
      <c r="H27" s="56"/>
      <c r="I27" s="47" t="str">
        <f aca="false">B27</f>
        <v>Prodcut 4</v>
      </c>
      <c r="J27" s="72" t="n">
        <f aca="false">'Entity 2 Out'!W10</f>
        <v>1157625</v>
      </c>
      <c r="K27" s="468" t="n">
        <f aca="false">K21*J27</f>
        <v>1157625000</v>
      </c>
      <c r="L27" s="468" t="n">
        <f aca="false">$F$20*K27</f>
        <v>578812500</v>
      </c>
      <c r="M27" s="469" t="n">
        <f aca="false">K27-L27</f>
        <v>578812500</v>
      </c>
      <c r="N27" s="48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.75" hidden="false" customHeight="true" outlineLevel="0" collapsed="false">
      <c r="A28" s="56"/>
      <c r="B28" s="47" t="s">
        <v>77</v>
      </c>
      <c r="C28" s="5" t="n">
        <f aca="false">'Entity 2 Out'!T11</f>
        <v>3666666.667</v>
      </c>
      <c r="D28" s="402" t="n">
        <f aca="false">SUM(D24:D27)</f>
        <v>3666666666.4</v>
      </c>
      <c r="E28" s="402" t="n">
        <f aca="false">SUM(E24:E27)</f>
        <v>1833333333.2</v>
      </c>
      <c r="F28" s="403" t="n">
        <f aca="false">SUM(F24:F27)</f>
        <v>1833333333.2</v>
      </c>
      <c r="G28" s="489"/>
      <c r="H28" s="56"/>
      <c r="I28" s="47" t="s">
        <v>77</v>
      </c>
      <c r="J28" s="5" t="n">
        <f aca="false">SUM(J24:J27)</f>
        <v>4244625</v>
      </c>
      <c r="K28" s="402" t="n">
        <f aca="false">SUM(K24:K27)</f>
        <v>4244625000</v>
      </c>
      <c r="L28" s="402" t="n">
        <f aca="false">SUM(L24:L27)</f>
        <v>2122312500</v>
      </c>
      <c r="M28" s="403" t="n">
        <f aca="false">SUM(M24:M27)</f>
        <v>2122312500</v>
      </c>
      <c r="N28" s="48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2.75" hidden="false" customHeight="true" outlineLevel="0" collapsed="false">
      <c r="A29" s="56"/>
      <c r="B29" s="2"/>
      <c r="C29" s="2"/>
      <c r="D29" s="2"/>
      <c r="E29" s="2"/>
      <c r="F29" s="25"/>
      <c r="G29" s="489"/>
      <c r="H29" s="56"/>
      <c r="I29" s="2"/>
      <c r="J29" s="2"/>
      <c r="K29" s="2"/>
      <c r="L29" s="2"/>
      <c r="M29" s="25"/>
      <c r="N29" s="48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2.75" hidden="false" customHeight="true" outlineLevel="0" collapsed="false">
      <c r="A30" s="185" t="s">
        <v>213</v>
      </c>
      <c r="B30" s="2"/>
      <c r="C30" s="2"/>
      <c r="D30" s="2"/>
      <c r="E30" s="2"/>
      <c r="F30" s="25"/>
      <c r="G30" s="489"/>
      <c r="H30" s="185" t="str">
        <f aca="false">A30</f>
        <v>Entity 3</v>
      </c>
      <c r="I30" s="2"/>
      <c r="J30" s="2"/>
      <c r="K30" s="2"/>
      <c r="L30" s="2"/>
      <c r="M30" s="25"/>
      <c r="N30" s="48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2.75" hidden="false" customHeight="true" outlineLevel="0" collapsed="false">
      <c r="A31" s="56"/>
      <c r="B31" s="90" t="str">
        <f aca="false">"Based on "&amp;Inputs!E182&amp;"x earnings"</f>
        <v>Based on 5x earnings</v>
      </c>
      <c r="C31" s="2"/>
      <c r="D31" s="2"/>
      <c r="E31" s="90" t="s">
        <v>374</v>
      </c>
      <c r="F31" s="505" t="n">
        <f aca="false">Inputs!F182</f>
        <v>0.5</v>
      </c>
      <c r="G31" s="489"/>
      <c r="H31" s="56"/>
      <c r="I31" s="90" t="str">
        <f aca="false">"Based on "&amp;Inputs!E182&amp;"x earnings"</f>
        <v>Based on 5x earnings</v>
      </c>
      <c r="J31" s="2"/>
      <c r="K31" s="2"/>
      <c r="L31" s="90" t="s">
        <v>374</v>
      </c>
      <c r="M31" s="505" t="n">
        <f aca="false">F31</f>
        <v>0.5</v>
      </c>
      <c r="N31" s="489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2.75" hidden="false" customHeight="true" outlineLevel="0" collapsed="false">
      <c r="A32" s="56"/>
      <c r="B32" s="2"/>
      <c r="C32" s="2"/>
      <c r="D32" s="2"/>
      <c r="E32" s="2"/>
      <c r="F32" s="25"/>
      <c r="G32" s="489"/>
      <c r="H32" s="56"/>
      <c r="I32" s="2"/>
      <c r="J32" s="2"/>
      <c r="K32" s="2"/>
      <c r="L32" s="2"/>
      <c r="M32" s="25"/>
      <c r="N32" s="489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2.75" hidden="false" customHeight="true" outlineLevel="0" collapsed="false">
      <c r="A33" s="56"/>
      <c r="B33" s="2"/>
      <c r="C33" s="27" t="s">
        <v>376</v>
      </c>
      <c r="D33" s="27" t="s">
        <v>377</v>
      </c>
      <c r="E33" s="27" t="str">
        <f aca="false">E23</f>
        <v>Joint-Venture Value</v>
      </c>
      <c r="F33" s="28" t="str">
        <f aca="false">F23</f>
        <v>Retained Value</v>
      </c>
      <c r="G33" s="489"/>
      <c r="H33" s="56"/>
      <c r="I33" s="2"/>
      <c r="J33" s="27" t="s">
        <v>378</v>
      </c>
      <c r="K33" s="27" t="s">
        <v>377</v>
      </c>
      <c r="L33" s="27" t="str">
        <f aca="false">L23</f>
        <v>Joint-Venture Value</v>
      </c>
      <c r="M33" s="28" t="str">
        <f aca="false">M23</f>
        <v>Retained Value</v>
      </c>
      <c r="N33" s="48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2.75" hidden="false" customHeight="true" outlineLevel="0" collapsed="false">
      <c r="A34" s="56"/>
      <c r="B34" s="47" t="s">
        <v>8</v>
      </c>
      <c r="C34" s="402" t="n">
        <f aca="false">'Entity 3 Out'!C12</f>
        <v>375000</v>
      </c>
      <c r="D34" s="402" t="n">
        <f aca="false">Inputs!$E$182*C34</f>
        <v>1875000</v>
      </c>
      <c r="E34" s="402" t="n">
        <f aca="false">$F$31*D34</f>
        <v>937500</v>
      </c>
      <c r="F34" s="403" t="n">
        <f aca="false">D34-E34</f>
        <v>937500</v>
      </c>
      <c r="G34" s="489"/>
      <c r="H34" s="56"/>
      <c r="I34" s="47" t="str">
        <f aca="false">B34</f>
        <v>Product 1</v>
      </c>
      <c r="J34" s="402" t="n">
        <f aca="false">'Entity 3 Out'!F12</f>
        <v>937500</v>
      </c>
      <c r="K34" s="402" t="n">
        <f aca="false">Inputs!$E$182*J34</f>
        <v>4687500</v>
      </c>
      <c r="L34" s="402" t="n">
        <f aca="false">$F$31*K34</f>
        <v>2343750</v>
      </c>
      <c r="M34" s="403" t="n">
        <f aca="false">K34-L34</f>
        <v>2343750</v>
      </c>
      <c r="N34" s="48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2.75" hidden="false" customHeight="true" outlineLevel="0" collapsed="false">
      <c r="A35" s="56"/>
      <c r="B35" s="47" t="s">
        <v>31</v>
      </c>
      <c r="C35" s="402" t="n">
        <f aca="false">'Entity 3 Out'!C13</f>
        <v>6742.5</v>
      </c>
      <c r="D35" s="402" t="n">
        <f aca="false">Inputs!$E$182*C35</f>
        <v>33712.5</v>
      </c>
      <c r="E35" s="402" t="n">
        <f aca="false">$F$31*D35</f>
        <v>16856.25</v>
      </c>
      <c r="F35" s="403" t="n">
        <f aca="false">D35-E35</f>
        <v>16856.25</v>
      </c>
      <c r="G35" s="489"/>
      <c r="H35" s="56"/>
      <c r="I35" s="47" t="str">
        <f aca="false">B35</f>
        <v>Product 2</v>
      </c>
      <c r="J35" s="402" t="n">
        <f aca="false">'Entity 3 Out'!F13</f>
        <v>13485</v>
      </c>
      <c r="K35" s="402" t="n">
        <f aca="false">Inputs!$E$182*J35</f>
        <v>67425</v>
      </c>
      <c r="L35" s="402" t="n">
        <f aca="false">$F$31*K35</f>
        <v>33712.5</v>
      </c>
      <c r="M35" s="403" t="n">
        <f aca="false">K35-L35</f>
        <v>33712.5</v>
      </c>
      <c r="N35" s="48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2.75" hidden="false" customHeight="true" outlineLevel="0" collapsed="false">
      <c r="A36" s="56"/>
      <c r="B36" s="47" t="s">
        <v>34</v>
      </c>
      <c r="C36" s="468" t="n">
        <f aca="false">'Entity 3 Out'!C14</f>
        <v>0</v>
      </c>
      <c r="D36" s="468" t="n">
        <f aca="false">Inputs!$E$182*C36</f>
        <v>0</v>
      </c>
      <c r="E36" s="468" t="n">
        <f aca="false">$F$31*D36</f>
        <v>0</v>
      </c>
      <c r="F36" s="469" t="n">
        <f aca="false">D36-E36</f>
        <v>0</v>
      </c>
      <c r="G36" s="489"/>
      <c r="H36" s="56"/>
      <c r="I36" s="47" t="str">
        <f aca="false">B36</f>
        <v>Product 3</v>
      </c>
      <c r="J36" s="468" t="n">
        <f aca="false">'Entity 3 Out'!F14</f>
        <v>0</v>
      </c>
      <c r="K36" s="468" t="n">
        <f aca="false">Inputs!$E$182*J36</f>
        <v>0</v>
      </c>
      <c r="L36" s="468" t="n">
        <f aca="false">$F$31*K36</f>
        <v>0</v>
      </c>
      <c r="M36" s="469" t="n">
        <f aca="false">K36-L36</f>
        <v>0</v>
      </c>
      <c r="N36" s="48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2.75" hidden="false" customHeight="true" outlineLevel="0" collapsed="false">
      <c r="A37" s="56"/>
      <c r="B37" s="47" t="s">
        <v>77</v>
      </c>
      <c r="C37" s="402" t="n">
        <f aca="false">SUM(C34:C36)</f>
        <v>381742.5</v>
      </c>
      <c r="D37" s="402" t="n">
        <f aca="false">SUM(D34:D36)</f>
        <v>1908712.5</v>
      </c>
      <c r="E37" s="402" t="n">
        <f aca="false">SUM(E34:E36)</f>
        <v>954356.25</v>
      </c>
      <c r="F37" s="403" t="n">
        <f aca="false">SUM(F34:F36)</f>
        <v>954356.25</v>
      </c>
      <c r="G37" s="489"/>
      <c r="H37" s="56"/>
      <c r="I37" s="47" t="s">
        <v>77</v>
      </c>
      <c r="J37" s="402" t="n">
        <f aca="false">SUM(J34:J36)</f>
        <v>950985</v>
      </c>
      <c r="K37" s="402" t="n">
        <f aca="false">SUM(K34:K36)</f>
        <v>4754925</v>
      </c>
      <c r="L37" s="402" t="n">
        <f aca="false">SUM(L34:L36)</f>
        <v>2377462.5</v>
      </c>
      <c r="M37" s="403" t="n">
        <f aca="false">SUM(M34:M36)</f>
        <v>2377462.5</v>
      </c>
      <c r="N37" s="48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2.75" hidden="false" customHeight="true" outlineLevel="0" collapsed="false">
      <c r="A38" s="56"/>
      <c r="B38" s="2"/>
      <c r="C38" s="402"/>
      <c r="D38" s="402"/>
      <c r="E38" s="402"/>
      <c r="F38" s="403"/>
      <c r="G38" s="489"/>
      <c r="H38" s="56"/>
      <c r="I38" s="2"/>
      <c r="J38" s="402"/>
      <c r="K38" s="402"/>
      <c r="L38" s="402"/>
      <c r="M38" s="403"/>
      <c r="N38" s="48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2.75" hidden="false" customHeight="true" outlineLevel="0" collapsed="false">
      <c r="A39" s="185" t="str">
        <f aca="false">A2</f>
        <v>All Three Entities</v>
      </c>
      <c r="B39" s="2"/>
      <c r="C39" s="402"/>
      <c r="D39" s="402"/>
      <c r="E39" s="402"/>
      <c r="F39" s="403"/>
      <c r="G39" s="489"/>
      <c r="H39" s="185" t="str">
        <f aca="false">A39</f>
        <v>All Three Entities</v>
      </c>
      <c r="I39" s="2"/>
      <c r="J39" s="402"/>
      <c r="K39" s="402"/>
      <c r="L39" s="402"/>
      <c r="M39" s="403"/>
      <c r="N39" s="48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2.75" hidden="false" customHeight="true" outlineLevel="0" collapsed="false">
      <c r="A40" s="56"/>
      <c r="B40" s="2"/>
      <c r="C40" s="402"/>
      <c r="D40" s="402" t="s">
        <v>379</v>
      </c>
      <c r="E40" s="402" t="str">
        <f aca="false">E7</f>
        <v>Joint-Venture Value</v>
      </c>
      <c r="F40" s="403" t="str">
        <f aca="false">F7</f>
        <v>Retained Value</v>
      </c>
      <c r="G40" s="489"/>
      <c r="H40" s="56"/>
      <c r="I40" s="2"/>
      <c r="J40" s="402"/>
      <c r="K40" s="402" t="s">
        <v>379</v>
      </c>
      <c r="L40" s="402" t="str">
        <f aca="false">L7</f>
        <v>Joint-Venture Value</v>
      </c>
      <c r="M40" s="403" t="str">
        <f aca="false">M7</f>
        <v>Retained Value</v>
      </c>
      <c r="N40" s="48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2.75" hidden="false" customHeight="true" outlineLevel="0" collapsed="false">
      <c r="A41" s="56"/>
      <c r="B41" s="2"/>
      <c r="C41" s="398" t="s">
        <v>0</v>
      </c>
      <c r="D41" s="402" t="n">
        <f aca="false">D17</f>
        <v>55869180</v>
      </c>
      <c r="E41" s="402" t="n">
        <f aca="false">E17</f>
        <v>0</v>
      </c>
      <c r="F41" s="403" t="n">
        <f aca="false">F17</f>
        <v>55869180</v>
      </c>
      <c r="G41" s="489"/>
      <c r="H41" s="56"/>
      <c r="I41" s="2"/>
      <c r="J41" s="398" t="str">
        <f aca="false">C41</f>
        <v>Entity 1</v>
      </c>
      <c r="K41" s="402" t="n">
        <f aca="false">K17</f>
        <v>170324178.9</v>
      </c>
      <c r="L41" s="402" t="n">
        <f aca="false">L17</f>
        <v>0</v>
      </c>
      <c r="M41" s="403" t="n">
        <f aca="false">M17</f>
        <v>170324178.9</v>
      </c>
      <c r="N41" s="48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2.75" hidden="false" customHeight="true" outlineLevel="0" collapsed="false">
      <c r="A42" s="56"/>
      <c r="B42" s="2"/>
      <c r="C42" s="398" t="s">
        <v>179</v>
      </c>
      <c r="D42" s="402" t="n">
        <f aca="false">D28</f>
        <v>3666666666.4</v>
      </c>
      <c r="E42" s="402" t="n">
        <f aca="false">E28</f>
        <v>1833333333.2</v>
      </c>
      <c r="F42" s="403" t="n">
        <f aca="false">F28</f>
        <v>1833333333.2</v>
      </c>
      <c r="G42" s="489"/>
      <c r="H42" s="56"/>
      <c r="I42" s="2"/>
      <c r="J42" s="398" t="str">
        <f aca="false">C42</f>
        <v>Entity 2</v>
      </c>
      <c r="K42" s="402" t="n">
        <f aca="false">K28</f>
        <v>4244625000</v>
      </c>
      <c r="L42" s="402" t="n">
        <f aca="false">L28</f>
        <v>2122312500</v>
      </c>
      <c r="M42" s="403" t="n">
        <f aca="false">M28</f>
        <v>2122312500</v>
      </c>
      <c r="N42" s="48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2.75" hidden="false" customHeight="true" outlineLevel="0" collapsed="false">
      <c r="A43" s="56"/>
      <c r="B43" s="2"/>
      <c r="C43" s="398" t="s">
        <v>213</v>
      </c>
      <c r="D43" s="468" t="n">
        <f aca="false">D37</f>
        <v>1908712.5</v>
      </c>
      <c r="E43" s="468" t="n">
        <f aca="false">E37</f>
        <v>954356.25</v>
      </c>
      <c r="F43" s="469" t="n">
        <f aca="false">F37</f>
        <v>954356.25</v>
      </c>
      <c r="G43" s="489"/>
      <c r="H43" s="56"/>
      <c r="I43" s="2"/>
      <c r="J43" s="398" t="str">
        <f aca="false">C43</f>
        <v>Entity 3</v>
      </c>
      <c r="K43" s="468" t="n">
        <f aca="false">K37</f>
        <v>4754925</v>
      </c>
      <c r="L43" s="468" t="n">
        <f aca="false">L37</f>
        <v>2377462.5</v>
      </c>
      <c r="M43" s="469" t="n">
        <f aca="false">M37</f>
        <v>2377462.5</v>
      </c>
      <c r="N43" s="48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3.5" hidden="false" customHeight="true" outlineLevel="0" collapsed="false">
      <c r="A44" s="68"/>
      <c r="B44" s="86"/>
      <c r="C44" s="507" t="s">
        <v>77</v>
      </c>
      <c r="D44" s="508" t="n">
        <f aca="false">SUM(D41:D43)</f>
        <v>3724444558.9</v>
      </c>
      <c r="E44" s="508" t="n">
        <f aca="false">SUM(E41:E43)</f>
        <v>1834287689.45</v>
      </c>
      <c r="F44" s="509" t="n">
        <f aca="false">SUM(F41:F43)</f>
        <v>1890156869.45</v>
      </c>
      <c r="G44" s="489"/>
      <c r="H44" s="68"/>
      <c r="I44" s="86"/>
      <c r="J44" s="507" t="s">
        <v>77</v>
      </c>
      <c r="K44" s="508" t="n">
        <f aca="false">SUM(K41:K43)</f>
        <v>4419704103.9</v>
      </c>
      <c r="L44" s="508" t="n">
        <f aca="false">SUM(L41:L43)</f>
        <v>2124689962.5</v>
      </c>
      <c r="M44" s="509" t="n">
        <f aca="false">SUM(M41:M43)</f>
        <v>2295014141.4</v>
      </c>
      <c r="N44" s="48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2.75" hidden="false" customHeight="true" outlineLevel="0" collapsed="false">
      <c r="A45" s="489"/>
      <c r="B45" s="489"/>
      <c r="C45" s="489"/>
      <c r="D45" s="489"/>
      <c r="E45" s="489"/>
      <c r="F45" s="489"/>
      <c r="G45" s="489"/>
      <c r="H45" s="489"/>
      <c r="I45" s="489"/>
      <c r="J45" s="489"/>
      <c r="K45" s="489"/>
      <c r="L45" s="489"/>
      <c r="M45" s="489"/>
      <c r="N45" s="48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2.75" hidden="false" customHeight="true" outlineLevel="0" collapsed="false">
      <c r="A46" s="2"/>
      <c r="B46" s="2"/>
      <c r="C46" s="2"/>
      <c r="D46" s="2"/>
      <c r="E46" s="2"/>
      <c r="F46" s="2"/>
      <c r="G46" s="489"/>
      <c r="H46" s="2"/>
      <c r="I46" s="2"/>
      <c r="J46" s="2"/>
      <c r="K46" s="2"/>
      <c r="L46" s="2"/>
      <c r="M46" s="2"/>
      <c r="N46" s="48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2.75" hidden="false" customHeight="true" outlineLevel="0" collapsed="false">
      <c r="A47" s="2"/>
      <c r="B47" s="4" t="s">
        <v>380</v>
      </c>
      <c r="C47" s="4" t="s">
        <v>0</v>
      </c>
      <c r="D47" s="4" t="s">
        <v>179</v>
      </c>
      <c r="E47" s="4" t="s">
        <v>213</v>
      </c>
      <c r="F47" s="4" t="s">
        <v>77</v>
      </c>
      <c r="G47" s="489"/>
      <c r="H47" s="2"/>
      <c r="I47" s="2" t="str">
        <f aca="false">B47</f>
        <v>Precent Retained</v>
      </c>
      <c r="J47" s="4" t="str">
        <f aca="false">C47</f>
        <v>Entity 1</v>
      </c>
      <c r="K47" s="4" t="str">
        <f aca="false">D47</f>
        <v>Entity 2</v>
      </c>
      <c r="L47" s="4" t="str">
        <f aca="false">E47</f>
        <v>Entity 3</v>
      </c>
      <c r="M47" s="4" t="str">
        <f aca="false">F47</f>
        <v>Total</v>
      </c>
      <c r="N47" s="48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2.75" hidden="false" customHeight="true" outlineLevel="0" collapsed="false">
      <c r="A48" s="2"/>
      <c r="B48" s="145" t="n">
        <v>0.2</v>
      </c>
      <c r="C48" s="402" t="n">
        <f aca="false">B48*$F$17</f>
        <v>11173836</v>
      </c>
      <c r="D48" s="7" t="n">
        <f aca="false">B48*$F$28</f>
        <v>366666666.64</v>
      </c>
      <c r="E48" s="7" t="n">
        <f aca="false">B48*$F$37</f>
        <v>190871.25</v>
      </c>
      <c r="F48" s="402" t="n">
        <f aca="false">F$44*B48</f>
        <v>378031373.89</v>
      </c>
      <c r="G48" s="489"/>
      <c r="H48" s="2"/>
      <c r="I48" s="510" t="n">
        <f aca="false">B48</f>
        <v>0.2</v>
      </c>
      <c r="J48" s="402" t="n">
        <f aca="false">I48*$M$17</f>
        <v>34064835.78</v>
      </c>
      <c r="K48" s="7" t="n">
        <f aca="false">I48*$M$28</f>
        <v>424462500</v>
      </c>
      <c r="L48" s="7" t="n">
        <f aca="false">I48*$M$37</f>
        <v>475492.5</v>
      </c>
      <c r="M48" s="402" t="n">
        <f aca="false">M$44*I48</f>
        <v>459002828.28</v>
      </c>
      <c r="N48" s="48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2.75" hidden="false" customHeight="true" outlineLevel="0" collapsed="false">
      <c r="A49" s="2"/>
      <c r="B49" s="145" t="n">
        <f aca="false">B48-0.01</f>
        <v>0.19</v>
      </c>
      <c r="C49" s="402" t="n">
        <f aca="false">B49*$F$17</f>
        <v>10615144.2</v>
      </c>
      <c r="D49" s="7" t="n">
        <f aca="false">B49*$F$28</f>
        <v>348333333.308</v>
      </c>
      <c r="E49" s="7" t="n">
        <f aca="false">B49*$F$37</f>
        <v>181327.6875</v>
      </c>
      <c r="F49" s="402" t="n">
        <f aca="false">F$44*B49</f>
        <v>359129805.1955</v>
      </c>
      <c r="G49" s="489"/>
      <c r="H49" s="2"/>
      <c r="I49" s="510" t="n">
        <f aca="false">B49</f>
        <v>0.19</v>
      </c>
      <c r="J49" s="402" t="n">
        <f aca="false">I49*$M$17</f>
        <v>32361593.991</v>
      </c>
      <c r="K49" s="7" t="n">
        <f aca="false">I49*$M$28</f>
        <v>403239375</v>
      </c>
      <c r="L49" s="7" t="n">
        <f aca="false">I49*$M$37</f>
        <v>451717.875</v>
      </c>
      <c r="M49" s="402" t="n">
        <f aca="false">M$44*I49</f>
        <v>436052686.866</v>
      </c>
      <c r="N49" s="48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2.75" hidden="false" customHeight="true" outlineLevel="0" collapsed="false">
      <c r="A50" s="2"/>
      <c r="B50" s="145" t="n">
        <f aca="false">B49-0.01</f>
        <v>0.18</v>
      </c>
      <c r="C50" s="402" t="n">
        <f aca="false">B50*$F$17</f>
        <v>10056452.4</v>
      </c>
      <c r="D50" s="7" t="n">
        <f aca="false">B50*$F$28</f>
        <v>329999999.976</v>
      </c>
      <c r="E50" s="7" t="n">
        <f aca="false">B50*$F$37</f>
        <v>171784.125</v>
      </c>
      <c r="F50" s="402" t="n">
        <f aca="false">F$44*B50</f>
        <v>340228236.501</v>
      </c>
      <c r="G50" s="489"/>
      <c r="H50" s="2"/>
      <c r="I50" s="510" t="n">
        <f aca="false">B50</f>
        <v>0.18</v>
      </c>
      <c r="J50" s="402" t="n">
        <f aca="false">I50*$M$17</f>
        <v>30658352.202</v>
      </c>
      <c r="K50" s="7" t="n">
        <f aca="false">I50*$M$28</f>
        <v>382016250</v>
      </c>
      <c r="L50" s="7" t="n">
        <f aca="false">I50*$M$37</f>
        <v>427943.25</v>
      </c>
      <c r="M50" s="402" t="n">
        <f aca="false">M$44*I50</f>
        <v>413102545.452</v>
      </c>
      <c r="N50" s="48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2.75" hidden="false" customHeight="true" outlineLevel="0" collapsed="false">
      <c r="A51" s="2"/>
      <c r="B51" s="145" t="n">
        <f aca="false">B50-0.01</f>
        <v>0.17</v>
      </c>
      <c r="C51" s="402" t="n">
        <f aca="false">B51*$F$17</f>
        <v>9497760.6</v>
      </c>
      <c r="D51" s="7" t="n">
        <f aca="false">B51*$F$28</f>
        <v>311666666.644</v>
      </c>
      <c r="E51" s="7" t="n">
        <f aca="false">B51*$F$37</f>
        <v>162240.5625</v>
      </c>
      <c r="F51" s="402" t="n">
        <f aca="false">F$44*B51</f>
        <v>321326667.8065</v>
      </c>
      <c r="G51" s="489"/>
      <c r="H51" s="2"/>
      <c r="I51" s="510" t="n">
        <f aca="false">B51</f>
        <v>0.17</v>
      </c>
      <c r="J51" s="402" t="n">
        <f aca="false">I51*$M$17</f>
        <v>28955110.413</v>
      </c>
      <c r="K51" s="7" t="n">
        <f aca="false">I51*$M$28</f>
        <v>360793125</v>
      </c>
      <c r="L51" s="7" t="n">
        <f aca="false">I51*$M$37</f>
        <v>404168.625</v>
      </c>
      <c r="M51" s="402" t="n">
        <f aca="false">M$44*I51</f>
        <v>390152404.038</v>
      </c>
      <c r="N51" s="48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2.75" hidden="false" customHeight="true" outlineLevel="0" collapsed="false">
      <c r="A52" s="2"/>
      <c r="B52" s="145" t="n">
        <f aca="false">B51-0.01</f>
        <v>0.16</v>
      </c>
      <c r="C52" s="402" t="n">
        <f aca="false">B52*$F$17</f>
        <v>8939068.8</v>
      </c>
      <c r="D52" s="7" t="n">
        <f aca="false">B52*$F$28</f>
        <v>293333333.312</v>
      </c>
      <c r="E52" s="7" t="n">
        <f aca="false">B52*$F$37</f>
        <v>152697</v>
      </c>
      <c r="F52" s="402" t="n">
        <f aca="false">F$44*B52</f>
        <v>302425099.112</v>
      </c>
      <c r="G52" s="489"/>
      <c r="H52" s="2"/>
      <c r="I52" s="510" t="n">
        <f aca="false">B52</f>
        <v>0.16</v>
      </c>
      <c r="J52" s="402" t="n">
        <f aca="false">I52*$M$17</f>
        <v>27251868.624</v>
      </c>
      <c r="K52" s="7" t="n">
        <f aca="false">I52*$M$28</f>
        <v>339570000</v>
      </c>
      <c r="L52" s="7" t="n">
        <f aca="false">I52*$M$37</f>
        <v>380394</v>
      </c>
      <c r="M52" s="402" t="n">
        <f aca="false">M$44*I52</f>
        <v>367202262.624</v>
      </c>
      <c r="N52" s="48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2.75" hidden="false" customHeight="true" outlineLevel="0" collapsed="false">
      <c r="A53" s="2"/>
      <c r="B53" s="145" t="n">
        <f aca="false">B52-0.01</f>
        <v>0.15</v>
      </c>
      <c r="C53" s="402" t="n">
        <f aca="false">B53*$F$17</f>
        <v>8380377</v>
      </c>
      <c r="D53" s="7" t="n">
        <f aca="false">B53*$F$28</f>
        <v>274999999.98</v>
      </c>
      <c r="E53" s="7" t="n">
        <f aca="false">B53*$F$37</f>
        <v>143153.4375</v>
      </c>
      <c r="F53" s="402" t="n">
        <f aca="false">F$44*B53</f>
        <v>283523530.4175</v>
      </c>
      <c r="G53" s="489"/>
      <c r="H53" s="2"/>
      <c r="I53" s="510" t="n">
        <f aca="false">B53</f>
        <v>0.15</v>
      </c>
      <c r="J53" s="402" t="n">
        <f aca="false">I53*$M$17</f>
        <v>25548626.835</v>
      </c>
      <c r="K53" s="7" t="n">
        <f aca="false">I53*$M$28</f>
        <v>318346875</v>
      </c>
      <c r="L53" s="7" t="n">
        <f aca="false">I53*$M$37</f>
        <v>356619.375</v>
      </c>
      <c r="M53" s="402" t="n">
        <f aca="false">M$44*I53</f>
        <v>344252121.21</v>
      </c>
      <c r="N53" s="48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2.75" hidden="false" customHeight="true" outlineLevel="0" collapsed="false">
      <c r="A54" s="2"/>
      <c r="B54" s="145" t="n">
        <f aca="false">B53-0.01</f>
        <v>0.14</v>
      </c>
      <c r="C54" s="402" t="n">
        <f aca="false">B54*$F$17</f>
        <v>7821685.2</v>
      </c>
      <c r="D54" s="7" t="n">
        <f aca="false">B54*$F$28</f>
        <v>256666666.648</v>
      </c>
      <c r="E54" s="7" t="n">
        <f aca="false">B54*$F$37</f>
        <v>133609.875</v>
      </c>
      <c r="F54" s="402" t="n">
        <f aca="false">F$44*B54</f>
        <v>264621961.723</v>
      </c>
      <c r="G54" s="489"/>
      <c r="H54" s="2"/>
      <c r="I54" s="510" t="n">
        <f aca="false">B54</f>
        <v>0.14</v>
      </c>
      <c r="J54" s="402" t="n">
        <f aca="false">I54*$M$17</f>
        <v>23845385.046</v>
      </c>
      <c r="K54" s="7" t="n">
        <f aca="false">I54*$M$28</f>
        <v>297123750</v>
      </c>
      <c r="L54" s="7" t="n">
        <f aca="false">I54*$M$37</f>
        <v>332844.75</v>
      </c>
      <c r="M54" s="402" t="n">
        <f aca="false">M$44*I54</f>
        <v>321301979.796</v>
      </c>
      <c r="N54" s="48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2.75" hidden="false" customHeight="true" outlineLevel="0" collapsed="false">
      <c r="A55" s="2"/>
      <c r="B55" s="145" t="n">
        <f aca="false">B54-0.01</f>
        <v>0.13</v>
      </c>
      <c r="C55" s="402" t="n">
        <f aca="false">B55*$F$17</f>
        <v>7262993.4</v>
      </c>
      <c r="D55" s="7" t="n">
        <f aca="false">B55*$F$28</f>
        <v>238333333.316</v>
      </c>
      <c r="E55" s="7" t="n">
        <f aca="false">B55*$F$37</f>
        <v>124066.3125</v>
      </c>
      <c r="F55" s="402" t="n">
        <f aca="false">F$44*B55</f>
        <v>245720393.0285</v>
      </c>
      <c r="G55" s="489"/>
      <c r="H55" s="2"/>
      <c r="I55" s="510" t="n">
        <f aca="false">B55</f>
        <v>0.13</v>
      </c>
      <c r="J55" s="402" t="n">
        <f aca="false">I55*$M$17</f>
        <v>22142143.257</v>
      </c>
      <c r="K55" s="7" t="n">
        <f aca="false">I55*$M$28</f>
        <v>275900625</v>
      </c>
      <c r="L55" s="7" t="n">
        <f aca="false">I55*$M$37</f>
        <v>309070.125</v>
      </c>
      <c r="M55" s="402" t="n">
        <f aca="false">M$44*I55</f>
        <v>298351838.382</v>
      </c>
      <c r="N55" s="48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2.75" hidden="false" customHeight="true" outlineLevel="0" collapsed="false">
      <c r="A56" s="2"/>
      <c r="B56" s="145" t="n">
        <f aca="false">B55-0.01</f>
        <v>0.12</v>
      </c>
      <c r="C56" s="402" t="n">
        <f aca="false">B56*$F$17</f>
        <v>6704301.6</v>
      </c>
      <c r="D56" s="7" t="n">
        <f aca="false">B56*$F$28</f>
        <v>219999999.984</v>
      </c>
      <c r="E56" s="7" t="n">
        <f aca="false">B56*$F$37</f>
        <v>114522.75</v>
      </c>
      <c r="F56" s="402" t="n">
        <f aca="false">F$44*B56</f>
        <v>226818824.334</v>
      </c>
      <c r="G56" s="489"/>
      <c r="H56" s="2"/>
      <c r="I56" s="510" t="n">
        <f aca="false">B56</f>
        <v>0.12</v>
      </c>
      <c r="J56" s="402" t="n">
        <f aca="false">I56*$M$17</f>
        <v>20438901.468</v>
      </c>
      <c r="K56" s="7" t="n">
        <f aca="false">I56*$M$28</f>
        <v>254677500</v>
      </c>
      <c r="L56" s="7" t="n">
        <f aca="false">I56*$M$37</f>
        <v>285295.5</v>
      </c>
      <c r="M56" s="402" t="n">
        <f aca="false">M$44*I56</f>
        <v>275401696.968</v>
      </c>
      <c r="N56" s="48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2.75" hidden="false" customHeight="true" outlineLevel="0" collapsed="false">
      <c r="A57" s="2"/>
      <c r="B57" s="145" t="n">
        <f aca="false">B56-0.01</f>
        <v>0.11</v>
      </c>
      <c r="C57" s="402" t="n">
        <f aca="false">B57*$F$17</f>
        <v>6145609.8</v>
      </c>
      <c r="D57" s="7" t="n">
        <f aca="false">B57*$F$28</f>
        <v>201666666.652</v>
      </c>
      <c r="E57" s="7" t="n">
        <f aca="false">B57*$F$37</f>
        <v>104979.1875</v>
      </c>
      <c r="F57" s="402" t="n">
        <f aca="false">F$44*B57</f>
        <v>207917255.6395</v>
      </c>
      <c r="G57" s="489"/>
      <c r="H57" s="2"/>
      <c r="I57" s="510" t="n">
        <f aca="false">B57</f>
        <v>0.11</v>
      </c>
      <c r="J57" s="402" t="n">
        <f aca="false">I57*$M$17</f>
        <v>18735659.679</v>
      </c>
      <c r="K57" s="7" t="n">
        <f aca="false">I57*$M$28</f>
        <v>233454375</v>
      </c>
      <c r="L57" s="7" t="n">
        <f aca="false">I57*$M$37</f>
        <v>261520.875</v>
      </c>
      <c r="M57" s="402" t="n">
        <f aca="false">M$44*I57</f>
        <v>252451555.554</v>
      </c>
      <c r="N57" s="48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2.75" hidden="false" customHeight="true" outlineLevel="0" collapsed="false">
      <c r="A58" s="2"/>
      <c r="B58" s="145" t="n">
        <f aca="false">B57-0.01</f>
        <v>0.1</v>
      </c>
      <c r="C58" s="402" t="n">
        <f aca="false">B58*$F$17</f>
        <v>5586918</v>
      </c>
      <c r="D58" s="7" t="n">
        <f aca="false">B58*$F$28</f>
        <v>183333333.32</v>
      </c>
      <c r="E58" s="7" t="n">
        <f aca="false">B58*$F$37</f>
        <v>95435.625</v>
      </c>
      <c r="F58" s="402" t="n">
        <f aca="false">F$44*B58</f>
        <v>189015686.945</v>
      </c>
      <c r="G58" s="489"/>
      <c r="H58" s="2"/>
      <c r="I58" s="510" t="n">
        <f aca="false">B58</f>
        <v>0.1</v>
      </c>
      <c r="J58" s="402" t="n">
        <f aca="false">I58*$M$17</f>
        <v>17032417.89</v>
      </c>
      <c r="K58" s="7" t="n">
        <f aca="false">I58*$M$28</f>
        <v>212231250</v>
      </c>
      <c r="L58" s="7" t="n">
        <f aca="false">I58*$M$37</f>
        <v>237746.25</v>
      </c>
      <c r="M58" s="402" t="n">
        <f aca="false">M$44*I58</f>
        <v>229501414.14</v>
      </c>
      <c r="N58" s="48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2.75" hidden="false" customHeight="true" outlineLevel="0" collapsed="false">
      <c r="A59" s="2"/>
      <c r="B59" s="145" t="n">
        <f aca="false">B58-0.01</f>
        <v>0.09</v>
      </c>
      <c r="C59" s="402" t="n">
        <f aca="false">B59*$F$17</f>
        <v>5028226.2</v>
      </c>
      <c r="D59" s="7" t="n">
        <f aca="false">B59*$F$28</f>
        <v>164999999.988</v>
      </c>
      <c r="E59" s="7" t="n">
        <f aca="false">B59*$F$37</f>
        <v>85892.0625</v>
      </c>
      <c r="F59" s="402" t="n">
        <f aca="false">F$44*B59</f>
        <v>170114118.2505</v>
      </c>
      <c r="G59" s="489"/>
      <c r="H59" s="2"/>
      <c r="I59" s="510" t="n">
        <f aca="false">B59</f>
        <v>0.09</v>
      </c>
      <c r="J59" s="402" t="n">
        <f aca="false">I59*$M$17</f>
        <v>15329176.101</v>
      </c>
      <c r="K59" s="7" t="n">
        <f aca="false">I59*$M$28</f>
        <v>191008125</v>
      </c>
      <c r="L59" s="7" t="n">
        <f aca="false">I59*$M$37</f>
        <v>213971.625</v>
      </c>
      <c r="M59" s="402" t="n">
        <f aca="false">M$44*I59</f>
        <v>206551272.726</v>
      </c>
      <c r="N59" s="48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2.75" hidden="false" customHeight="true" outlineLevel="0" collapsed="false">
      <c r="A60" s="2"/>
      <c r="B60" s="145" t="n">
        <f aca="false">B59-0.01</f>
        <v>0.08</v>
      </c>
      <c r="C60" s="402" t="n">
        <f aca="false">B60*$F$17</f>
        <v>4469534.4</v>
      </c>
      <c r="D60" s="7" t="n">
        <f aca="false">B60*$F$28</f>
        <v>146666666.656</v>
      </c>
      <c r="E60" s="7" t="n">
        <f aca="false">B60*$F$37</f>
        <v>76348.5</v>
      </c>
      <c r="F60" s="402" t="n">
        <f aca="false">F$44*B60</f>
        <v>151212549.556</v>
      </c>
      <c r="G60" s="489"/>
      <c r="H60" s="2"/>
      <c r="I60" s="510" t="n">
        <f aca="false">B60</f>
        <v>0.08</v>
      </c>
      <c r="J60" s="402" t="n">
        <f aca="false">I60*$M$17</f>
        <v>13625934.312</v>
      </c>
      <c r="K60" s="7" t="n">
        <f aca="false">I60*$M$28</f>
        <v>169785000</v>
      </c>
      <c r="L60" s="7" t="n">
        <f aca="false">I60*$M$37</f>
        <v>190197</v>
      </c>
      <c r="M60" s="402" t="n">
        <f aca="false">M$44*I60</f>
        <v>183601131.312</v>
      </c>
      <c r="N60" s="48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2.75" hidden="false" customHeight="true" outlineLevel="0" collapsed="false">
      <c r="A61" s="2"/>
      <c r="B61" s="145" t="n">
        <f aca="false">B60-0.01</f>
        <v>0.07</v>
      </c>
      <c r="C61" s="402" t="n">
        <f aca="false">B61*$F$17</f>
        <v>3910842.6</v>
      </c>
      <c r="D61" s="7" t="n">
        <f aca="false">B61*$F$28</f>
        <v>128333333.324</v>
      </c>
      <c r="E61" s="7" t="n">
        <f aca="false">B61*$F$37</f>
        <v>66804.9375</v>
      </c>
      <c r="F61" s="402" t="n">
        <f aca="false">F$44*B61</f>
        <v>132310980.8615</v>
      </c>
      <c r="G61" s="489"/>
      <c r="H61" s="2"/>
      <c r="I61" s="510" t="n">
        <f aca="false">B61</f>
        <v>0.07</v>
      </c>
      <c r="J61" s="402" t="n">
        <f aca="false">I61*$M$17</f>
        <v>11922692.523</v>
      </c>
      <c r="K61" s="7" t="n">
        <f aca="false">I61*$M$28</f>
        <v>148561875</v>
      </c>
      <c r="L61" s="7" t="n">
        <f aca="false">I61*$M$37</f>
        <v>166422.375</v>
      </c>
      <c r="M61" s="402" t="n">
        <f aca="false">M$44*I61</f>
        <v>160650989.898</v>
      </c>
      <c r="N61" s="489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2.75" hidden="false" customHeight="true" outlineLevel="0" collapsed="false">
      <c r="A62" s="2"/>
      <c r="B62" s="145" t="n">
        <f aca="false">B61-0.01</f>
        <v>0.06</v>
      </c>
      <c r="C62" s="402" t="n">
        <f aca="false">B62*$F$17</f>
        <v>3352150.8</v>
      </c>
      <c r="D62" s="7" t="n">
        <f aca="false">B62*$F$28</f>
        <v>109999999.992</v>
      </c>
      <c r="E62" s="7" t="n">
        <f aca="false">B62*$F$37</f>
        <v>57261.375</v>
      </c>
      <c r="F62" s="402" t="n">
        <f aca="false">F$44*B62</f>
        <v>113409412.167</v>
      </c>
      <c r="G62" s="489"/>
      <c r="H62" s="2"/>
      <c r="I62" s="510" t="n">
        <f aca="false">B62</f>
        <v>0.06</v>
      </c>
      <c r="J62" s="402" t="n">
        <f aca="false">I62*$M$17</f>
        <v>10219450.734</v>
      </c>
      <c r="K62" s="7" t="n">
        <f aca="false">I62*$M$28</f>
        <v>127338750</v>
      </c>
      <c r="L62" s="7" t="n">
        <f aca="false">I62*$M$37</f>
        <v>142647.75</v>
      </c>
      <c r="M62" s="402" t="n">
        <f aca="false">M$44*I62</f>
        <v>137700848.484</v>
      </c>
      <c r="N62" s="489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2.75" hidden="false" customHeight="true" outlineLevel="0" collapsed="false">
      <c r="A63" s="2"/>
      <c r="B63" s="145" t="n">
        <f aca="false">B62-0.01</f>
        <v>0.05</v>
      </c>
      <c r="C63" s="402" t="n">
        <f aca="false">B63*$F$17</f>
        <v>2793459</v>
      </c>
      <c r="D63" s="7" t="n">
        <f aca="false">B63*$F$28</f>
        <v>91666666.66</v>
      </c>
      <c r="E63" s="7" t="n">
        <f aca="false">B63*$F$37</f>
        <v>47717.8125</v>
      </c>
      <c r="F63" s="402" t="n">
        <f aca="false">F$44*B63</f>
        <v>94507843.4724999</v>
      </c>
      <c r="G63" s="489"/>
      <c r="H63" s="2"/>
      <c r="I63" s="510" t="n">
        <f aca="false">B63</f>
        <v>0.05</v>
      </c>
      <c r="J63" s="402" t="n">
        <f aca="false">I63*$M$17</f>
        <v>8516208.945</v>
      </c>
      <c r="K63" s="7" t="n">
        <f aca="false">I63*$M$28</f>
        <v>106115625</v>
      </c>
      <c r="L63" s="7" t="n">
        <f aca="false">I63*$M$37</f>
        <v>118873.125</v>
      </c>
      <c r="M63" s="402" t="n">
        <f aca="false">M$44*I63</f>
        <v>114750707.07</v>
      </c>
      <c r="N63" s="48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2.75" hidden="false" customHeight="true" outlineLevel="0" collapsed="false">
      <c r="A64" s="2"/>
      <c r="B64" s="145" t="n">
        <f aca="false">B63-0.01</f>
        <v>0.04</v>
      </c>
      <c r="C64" s="402" t="n">
        <f aca="false">B64*$F$17</f>
        <v>2234767.2</v>
      </c>
      <c r="D64" s="7" t="n">
        <f aca="false">B64*$F$28</f>
        <v>73333333.328</v>
      </c>
      <c r="E64" s="7" t="n">
        <f aca="false">B64*$F$37</f>
        <v>38174.25</v>
      </c>
      <c r="F64" s="402" t="n">
        <f aca="false">F$44*B64</f>
        <v>75606274.778</v>
      </c>
      <c r="G64" s="489"/>
      <c r="H64" s="2"/>
      <c r="I64" s="510" t="n">
        <f aca="false">B64</f>
        <v>0.04</v>
      </c>
      <c r="J64" s="402" t="n">
        <f aca="false">I64*$M$17</f>
        <v>6812967.156</v>
      </c>
      <c r="K64" s="7" t="n">
        <f aca="false">I64*$M$28</f>
        <v>84892500</v>
      </c>
      <c r="L64" s="7" t="n">
        <f aca="false">I64*$M$37</f>
        <v>95098.5</v>
      </c>
      <c r="M64" s="402" t="n">
        <f aca="false">M$44*I64</f>
        <v>91800565.6559999</v>
      </c>
      <c r="N64" s="48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2.75" hidden="false" customHeight="true" outlineLevel="0" collapsed="false">
      <c r="A65" s="2"/>
      <c r="B65" s="145" t="n">
        <f aca="false">B64-0.01</f>
        <v>0.03</v>
      </c>
      <c r="C65" s="402" t="n">
        <f aca="false">B65*$F$17</f>
        <v>1676075.4</v>
      </c>
      <c r="D65" s="7" t="n">
        <f aca="false">B65*$F$28</f>
        <v>54999999.9959999</v>
      </c>
      <c r="E65" s="7" t="n">
        <f aca="false">B65*$F$37</f>
        <v>28630.6875</v>
      </c>
      <c r="F65" s="402" t="n">
        <f aca="false">F$44*B65</f>
        <v>56704706.0834999</v>
      </c>
      <c r="G65" s="489"/>
      <c r="H65" s="2"/>
      <c r="I65" s="510" t="n">
        <f aca="false">B65</f>
        <v>0.03</v>
      </c>
      <c r="J65" s="402" t="n">
        <f aca="false">I65*$M$17</f>
        <v>5109725.367</v>
      </c>
      <c r="K65" s="7" t="n">
        <f aca="false">I65*$M$28</f>
        <v>63669374.9999999</v>
      </c>
      <c r="L65" s="7" t="n">
        <f aca="false">I65*$M$37</f>
        <v>71323.8749999999</v>
      </c>
      <c r="M65" s="402" t="n">
        <f aca="false">M$44*I65</f>
        <v>68850424.2419999</v>
      </c>
      <c r="N65" s="48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2.75" hidden="false" customHeight="true" outlineLevel="0" collapsed="false">
      <c r="A66" s="2"/>
      <c r="B66" s="145" t="n">
        <f aca="false">B65-0.01</f>
        <v>0.02</v>
      </c>
      <c r="C66" s="402" t="n">
        <f aca="false">B66*$F$17</f>
        <v>1117383.6</v>
      </c>
      <c r="D66" s="7" t="n">
        <f aca="false">B66*$F$28</f>
        <v>36666666.6639999</v>
      </c>
      <c r="E66" s="7" t="n">
        <f aca="false">B66*$F$37</f>
        <v>19087.125</v>
      </c>
      <c r="F66" s="402" t="n">
        <f aca="false">F$44*B66</f>
        <v>37803137.3889999</v>
      </c>
      <c r="G66" s="489"/>
      <c r="H66" s="2"/>
      <c r="I66" s="510" t="n">
        <f aca="false">B66</f>
        <v>0.02</v>
      </c>
      <c r="J66" s="402" t="n">
        <f aca="false">I66*$M$17</f>
        <v>3406483.578</v>
      </c>
      <c r="K66" s="7" t="n">
        <f aca="false">I66*$M$28</f>
        <v>42446249.9999999</v>
      </c>
      <c r="L66" s="7" t="n">
        <f aca="false">I66*$M$37</f>
        <v>47549.2499999999</v>
      </c>
      <c r="M66" s="402" t="n">
        <f aca="false">M$44*I66</f>
        <v>45900282.8279999</v>
      </c>
      <c r="N66" s="48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2.75" hidden="false" customHeight="true" outlineLevel="0" collapsed="false">
      <c r="A67" s="2"/>
      <c r="B67" s="145" t="n">
        <f aca="false">B66-0.01</f>
        <v>0.00999999999999997</v>
      </c>
      <c r="C67" s="402" t="n">
        <f aca="false">B67*$F$17</f>
        <v>558691.799999998</v>
      </c>
      <c r="D67" s="7" t="n">
        <f aca="false">B67*$F$28</f>
        <v>18333333.3319999</v>
      </c>
      <c r="E67" s="7" t="n">
        <f aca="false">B67*$F$37</f>
        <v>9543.56249999997</v>
      </c>
      <c r="F67" s="402" t="n">
        <f aca="false">F$44*B67</f>
        <v>18901568.6944999</v>
      </c>
      <c r="G67" s="489"/>
      <c r="H67" s="2"/>
      <c r="I67" s="510" t="n">
        <f aca="false">B67</f>
        <v>0.00999999999999997</v>
      </c>
      <c r="J67" s="402" t="n">
        <f aca="false">I67*$M$17</f>
        <v>1703241.78899999</v>
      </c>
      <c r="K67" s="7" t="n">
        <f aca="false">I67*$M$28</f>
        <v>21223124.9999999</v>
      </c>
      <c r="L67" s="7" t="n">
        <f aca="false">I67*$M$37</f>
        <v>23774.6249999999</v>
      </c>
      <c r="M67" s="402" t="n">
        <f aca="false">M$44*I67</f>
        <v>22950141.4139999</v>
      </c>
      <c r="N67" s="489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2.75" hidden="false" customHeight="true" outlineLevel="0" collapsed="false">
      <c r="A68" s="2"/>
      <c r="B68" s="510" t="n">
        <f aca="false">B67/2</f>
        <v>0.005</v>
      </c>
      <c r="C68" s="402" t="n">
        <f aca="false">B68*$F$17</f>
        <v>279345.9</v>
      </c>
      <c r="D68" s="7" t="n">
        <f aca="false">B68*$F$28</f>
        <v>9166666.666</v>
      </c>
      <c r="E68" s="7" t="n">
        <f aca="false">B68*$F$37</f>
        <v>4771.78125</v>
      </c>
      <c r="F68" s="402" t="n">
        <f aca="false">F$44*B68</f>
        <v>9450784.34725</v>
      </c>
      <c r="G68" s="489"/>
      <c r="H68" s="2"/>
      <c r="I68" s="510" t="n">
        <f aca="false">B68</f>
        <v>0.005</v>
      </c>
      <c r="J68" s="402" t="n">
        <f aca="false">I68*$M$17</f>
        <v>851620.8945</v>
      </c>
      <c r="K68" s="7" t="n">
        <f aca="false">I68*$M$28</f>
        <v>10611562.5</v>
      </c>
      <c r="L68" s="7" t="n">
        <f aca="false">I68*$M$37</f>
        <v>11887.3125</v>
      </c>
      <c r="M68" s="402" t="n">
        <f aca="false">M$44*I68</f>
        <v>11475070.707</v>
      </c>
      <c r="N68" s="48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2.75" hidden="false" customHeight="true" outlineLevel="0" collapsed="false">
      <c r="A69" s="2"/>
      <c r="B69" s="2"/>
      <c r="C69" s="2"/>
      <c r="D69" s="2"/>
      <c r="E69" s="145"/>
      <c r="F69" s="2"/>
      <c r="G69" s="489"/>
      <c r="H69" s="2"/>
      <c r="I69" s="2"/>
      <c r="J69" s="2"/>
      <c r="K69" s="2"/>
      <c r="L69" s="2"/>
      <c r="M69" s="2"/>
      <c r="N69" s="48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2.75" hidden="false" customHeight="true" outlineLevel="0" collapsed="false">
      <c r="A70" s="2"/>
      <c r="B70" s="47" t="s">
        <v>381</v>
      </c>
      <c r="C70" s="401" t="n">
        <v>1</v>
      </c>
      <c r="D70" s="401" t="n">
        <v>1</v>
      </c>
      <c r="E70" s="401" t="n">
        <v>1</v>
      </c>
      <c r="F70" s="401" t="n">
        <v>1</v>
      </c>
      <c r="G70" s="489"/>
      <c r="H70" s="2"/>
      <c r="I70" s="47" t="s">
        <v>382</v>
      </c>
      <c r="J70" s="401" t="n">
        <f aca="false">(J68-C68)/C68</f>
        <v>2.04862500040273</v>
      </c>
      <c r="K70" s="401" t="n">
        <f aca="false">(K68-D68)/D68</f>
        <v>0.157625000084191</v>
      </c>
      <c r="L70" s="401" t="n">
        <f aca="false">(L68-E68)/E68</f>
        <v>1.49116878524136</v>
      </c>
      <c r="M70" s="401" t="n">
        <f aca="false">(M68-F68)/F68</f>
        <v>0.214192418890505</v>
      </c>
      <c r="N70" s="48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</sheetData>
  <mergeCells count="4">
    <mergeCell ref="A1:F1"/>
    <mergeCell ref="H1:M1"/>
    <mergeCell ref="A2:F2"/>
    <mergeCell ref="H2:M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17.86"/>
    <col collapsed="false" customWidth="true" hidden="false" outlineLevel="0" max="3" min="2" style="0" width="9.29"/>
    <col collapsed="false" customWidth="true" hidden="false" outlineLevel="0" max="4" min="4" style="0" width="9"/>
    <col collapsed="false" customWidth="true" hidden="false" outlineLevel="0" max="5" min="5" style="0" width="9.71"/>
    <col collapsed="false" customWidth="true" hidden="false" outlineLevel="0" max="7" min="6" style="0" width="9"/>
    <col collapsed="false" customWidth="true" hidden="false" outlineLevel="0" max="9" min="8" style="0" width="9.71"/>
    <col collapsed="false" customWidth="true" hidden="false" outlineLevel="0" max="10" min="10" style="0" width="9"/>
    <col collapsed="false" customWidth="true" hidden="false" outlineLevel="0" max="13" min="11" style="0" width="9.58"/>
    <col collapsed="false" customWidth="true" hidden="false" outlineLevel="0" max="14" min="14" style="0" width="10.58"/>
    <col collapsed="false" customWidth="true" hidden="false" outlineLevel="0" max="15" min="15" style="0" width="11.71"/>
    <col collapsed="false" customWidth="true" hidden="false" outlineLevel="0" max="16" min="16" style="0" width="3.14"/>
    <col collapsed="false" customWidth="true" hidden="false" outlineLevel="0" max="17" min="17" style="0" width="11.43"/>
    <col collapsed="false" customWidth="true" hidden="false" outlineLevel="0" max="29" min="18" style="0" width="5.43"/>
    <col collapsed="false" customWidth="true" hidden="false" outlineLevel="0" max="30" min="30" style="0" width="9.58"/>
    <col collapsed="false" customWidth="true" hidden="false" outlineLevel="0" max="31" min="31" style="0" width="9"/>
    <col collapsed="false" customWidth="true" hidden="false" outlineLevel="0" max="32" min="32" style="0" width="11.86"/>
    <col collapsed="false" customWidth="true" hidden="false" outlineLevel="0" max="33" min="33" style="0" width="11.43"/>
    <col collapsed="false" customWidth="true" hidden="false" outlineLevel="0" max="43" min="34" style="0" width="9"/>
    <col collapsed="false" customWidth="true" hidden="false" outlineLevel="0" max="1025" min="44" style="0" width="14.43"/>
  </cols>
  <sheetData>
    <row r="1" customFormat="false" ht="13.5" hidden="false" customHeight="true" outlineLevel="0" collapsed="false">
      <c r="A1" s="19" t="s">
        <v>383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511"/>
      <c r="O1" s="512" t="s">
        <v>384</v>
      </c>
      <c r="P1" s="329" t="s">
        <v>385</v>
      </c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3.5" hidden="false" customHeight="true" outlineLevel="0" collapsed="false">
      <c r="A2" s="513" t="s">
        <v>237</v>
      </c>
      <c r="B2" s="514" t="n">
        <v>39479</v>
      </c>
      <c r="C2" s="514" t="n">
        <f aca="false">B2+31</f>
        <v>39510</v>
      </c>
      <c r="D2" s="514" t="n">
        <f aca="false">C2+31</f>
        <v>39541</v>
      </c>
      <c r="E2" s="514" t="n">
        <f aca="false">D2+31</f>
        <v>39572</v>
      </c>
      <c r="F2" s="514" t="n">
        <f aca="false">E2+31</f>
        <v>39603</v>
      </c>
      <c r="G2" s="514" t="n">
        <f aca="false">F2+31</f>
        <v>39634</v>
      </c>
      <c r="H2" s="514" t="n">
        <f aca="false">G2+31</f>
        <v>39665</v>
      </c>
      <c r="I2" s="514" t="n">
        <f aca="false">H2+31</f>
        <v>39696</v>
      </c>
      <c r="J2" s="514" t="n">
        <f aca="false">I2+31</f>
        <v>39727</v>
      </c>
      <c r="K2" s="514" t="n">
        <f aca="false">J2+31</f>
        <v>39758</v>
      </c>
      <c r="L2" s="514" t="n">
        <f aca="false">K2+31</f>
        <v>39789</v>
      </c>
      <c r="M2" s="515" t="n">
        <f aca="false">L2+31</f>
        <v>39820</v>
      </c>
      <c r="N2" s="516" t="s">
        <v>386</v>
      </c>
      <c r="O2" s="517" t="s">
        <v>387</v>
      </c>
      <c r="P2" s="518" t="s">
        <v>388</v>
      </c>
      <c r="Q2" s="519" t="n">
        <v>100</v>
      </c>
      <c r="R2" s="378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520" t="s">
        <v>389</v>
      </c>
      <c r="AD2" s="521" t="s">
        <v>77</v>
      </c>
      <c r="AE2" s="99" t="s">
        <v>390</v>
      </c>
      <c r="AF2" s="14" t="s">
        <v>391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customFormat="false" ht="12.75" hidden="false" customHeight="true" outlineLevel="0" collapsed="false">
      <c r="A3" s="56" t="str">
        <f aca="false">Inputs!B30</f>
        <v>Brand 1</v>
      </c>
      <c r="B3" s="5" t="n">
        <f aca="false">$AE$28*Inputs!$D30</f>
        <v>0</v>
      </c>
      <c r="C3" s="5" t="n">
        <f aca="false">$AE$29*Inputs!$D30</f>
        <v>197.3684211</v>
      </c>
      <c r="D3" s="5" t="n">
        <f aca="false">$AE$30*Inputs!$D30</f>
        <v>197.3684211</v>
      </c>
      <c r="E3" s="5" t="n">
        <f aca="false">$AE$31*Inputs!$D30</f>
        <v>394.7368421</v>
      </c>
      <c r="F3" s="5" t="n">
        <f aca="false">$AE$32*Inputs!$D30</f>
        <v>394.7368421</v>
      </c>
      <c r="G3" s="5" t="n">
        <f aca="false">$AE$33*Inputs!$D30</f>
        <v>592.1052632</v>
      </c>
      <c r="H3" s="5" t="n">
        <f aca="false">$AE$34*Inputs!$D30</f>
        <v>789.4736842</v>
      </c>
      <c r="I3" s="5" t="n">
        <f aca="false">$AE$35*Inputs!$D30</f>
        <v>1184.210526</v>
      </c>
      <c r="J3" s="5" t="n">
        <f aca="false">$AE$36*Inputs!$D30</f>
        <v>1578.947368</v>
      </c>
      <c r="K3" s="5" t="n">
        <f aca="false">$AE$37*Inputs!$D30</f>
        <v>2368.421053</v>
      </c>
      <c r="L3" s="5" t="n">
        <f aca="false">$AE$38*Inputs!$D30</f>
        <v>3355.263158</v>
      </c>
      <c r="M3" s="230" t="n">
        <f aca="false">$AE$39*Inputs!$D30</f>
        <v>3947.368421</v>
      </c>
      <c r="N3" s="522" t="n">
        <f aca="false">SUM(B3:M3)</f>
        <v>14999.9999998</v>
      </c>
      <c r="O3" s="523" t="n">
        <f aca="false">COUNTA(B3:M3)</f>
        <v>12</v>
      </c>
      <c r="P3" s="518"/>
      <c r="Q3" s="26" t="n">
        <f aca="false">Q2-5</f>
        <v>95</v>
      </c>
      <c r="R3" s="108"/>
      <c r="S3" s="4"/>
      <c r="T3" s="4"/>
      <c r="U3" s="4"/>
      <c r="V3" s="4"/>
      <c r="W3" s="4"/>
      <c r="X3" s="4"/>
      <c r="Y3" s="4"/>
      <c r="Z3" s="4"/>
      <c r="AA3" s="4"/>
      <c r="AB3" s="4"/>
      <c r="AC3" s="524" t="s">
        <v>389</v>
      </c>
      <c r="AD3" s="525" t="s">
        <v>80</v>
      </c>
      <c r="AE3" s="56" t="n">
        <v>1</v>
      </c>
      <c r="AF3" s="526" t="n">
        <f aca="false">'Customer Growth'!AE28</f>
        <v>0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customFormat="false" ht="12.75" hidden="false" customHeight="true" outlineLevel="0" collapsed="false">
      <c r="A4" s="56" t="str">
        <f aca="false">Inputs!B31</f>
        <v>Brand 2</v>
      </c>
      <c r="B4" s="5" t="n">
        <f aca="false">$AE$28*Inputs!$D31</f>
        <v>0</v>
      </c>
      <c r="C4" s="5" t="n">
        <f aca="false">$AE$29*Inputs!$D31</f>
        <v>131.5789474</v>
      </c>
      <c r="D4" s="5" t="n">
        <f aca="false">$AE$30*Inputs!$D31</f>
        <v>131.5789474</v>
      </c>
      <c r="E4" s="5" t="n">
        <f aca="false">$AE$31*Inputs!$D31</f>
        <v>263.1578947</v>
      </c>
      <c r="F4" s="5" t="n">
        <f aca="false">$AE$32*Inputs!$D31</f>
        <v>263.1578947</v>
      </c>
      <c r="G4" s="5" t="n">
        <f aca="false">$AE$33*Inputs!$D31</f>
        <v>394.7368421</v>
      </c>
      <c r="H4" s="5" t="n">
        <f aca="false">$AE$34*Inputs!$D31</f>
        <v>526.3157895</v>
      </c>
      <c r="I4" s="5" t="n">
        <f aca="false">$AE$35*Inputs!$D31</f>
        <v>789.4736842</v>
      </c>
      <c r="J4" s="5" t="n">
        <f aca="false">$AE$36*Inputs!$D31</f>
        <v>1052.631579</v>
      </c>
      <c r="K4" s="5" t="n">
        <f aca="false">$AE$37*Inputs!$D31</f>
        <v>1578.947368</v>
      </c>
      <c r="L4" s="5" t="n">
        <f aca="false">$AE$38*Inputs!$D31</f>
        <v>2236.842105</v>
      </c>
      <c r="M4" s="230" t="n">
        <f aca="false">$AE$39*Inputs!$D31</f>
        <v>2631.578947</v>
      </c>
      <c r="N4" s="522" t="n">
        <f aca="false">SUM(B4:M4)</f>
        <v>9999.999999</v>
      </c>
      <c r="O4" s="527" t="n">
        <f aca="false">COUNTA(B4:M4)</f>
        <v>12</v>
      </c>
      <c r="P4" s="518"/>
      <c r="Q4" s="26" t="n">
        <f aca="false">Q3-5</f>
        <v>90</v>
      </c>
      <c r="R4" s="108"/>
      <c r="S4" s="4"/>
      <c r="T4" s="4"/>
      <c r="U4" s="4"/>
      <c r="V4" s="4"/>
      <c r="W4" s="4"/>
      <c r="X4" s="4"/>
      <c r="Y4" s="4"/>
      <c r="Z4" s="4"/>
      <c r="AA4" s="4"/>
      <c r="AB4" s="4"/>
      <c r="AC4" s="524" t="s">
        <v>389</v>
      </c>
      <c r="AD4" s="525" t="s">
        <v>392</v>
      </c>
      <c r="AE4" s="56" t="n">
        <v>2</v>
      </c>
      <c r="AF4" s="526" t="n">
        <f aca="false">'Customer Growth'!AE29</f>
        <v>0.01315789474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customFormat="false" ht="12.75" hidden="false" customHeight="true" outlineLevel="0" collapsed="false">
      <c r="A5" s="56" t="str">
        <f aca="false">Inputs!B32</f>
        <v>Brand 3</v>
      </c>
      <c r="B5" s="5" t="n">
        <f aca="false">$AE$28*Inputs!$D32</f>
        <v>0</v>
      </c>
      <c r="C5" s="5" t="n">
        <f aca="false">$AE$29*Inputs!$D32</f>
        <v>65.78947368</v>
      </c>
      <c r="D5" s="5" t="n">
        <f aca="false">$AE$30*Inputs!$D32</f>
        <v>65.78947368</v>
      </c>
      <c r="E5" s="5" t="n">
        <f aca="false">$AE$31*Inputs!$D32</f>
        <v>131.5789474</v>
      </c>
      <c r="F5" s="5" t="n">
        <f aca="false">$AE$32*Inputs!$D32</f>
        <v>131.5789474</v>
      </c>
      <c r="G5" s="5" t="n">
        <f aca="false">$AE$33*Inputs!$D32</f>
        <v>197.3684211</v>
      </c>
      <c r="H5" s="5" t="n">
        <f aca="false">$AE$34*Inputs!$D32</f>
        <v>263.1578947</v>
      </c>
      <c r="I5" s="5" t="n">
        <f aca="false">$AE$35*Inputs!$D32</f>
        <v>394.7368421</v>
      </c>
      <c r="J5" s="5" t="n">
        <f aca="false">$AE$36*Inputs!$D32</f>
        <v>526.3157895</v>
      </c>
      <c r="K5" s="5" t="n">
        <f aca="false">$AE$37*Inputs!$D32</f>
        <v>789.4736842</v>
      </c>
      <c r="L5" s="5" t="n">
        <f aca="false">$AE$38*Inputs!$D32</f>
        <v>1118.421053</v>
      </c>
      <c r="M5" s="230" t="n">
        <f aca="false">$AE$39*Inputs!$D32</f>
        <v>1315.789474</v>
      </c>
      <c r="N5" s="522" t="n">
        <f aca="false">SUM(B5:M5)</f>
        <v>5000.00000076</v>
      </c>
      <c r="O5" s="527" t="n">
        <f aca="false">COUNTA(B5:M5)</f>
        <v>12</v>
      </c>
      <c r="P5" s="518"/>
      <c r="Q5" s="26" t="n">
        <f aca="false">Q4-5</f>
        <v>85</v>
      </c>
      <c r="R5" s="108"/>
      <c r="S5" s="4"/>
      <c r="T5" s="4"/>
      <c r="U5" s="4"/>
      <c r="V5" s="4"/>
      <c r="W5" s="4"/>
      <c r="X5" s="4"/>
      <c r="Y5" s="4"/>
      <c r="Z5" s="4"/>
      <c r="AA5" s="4"/>
      <c r="AB5" s="524" t="s">
        <v>389</v>
      </c>
      <c r="AC5" s="524" t="s">
        <v>389</v>
      </c>
      <c r="AD5" s="528" t="n">
        <f aca="false">COUNTA('Customer Growth'!R2:AC21)</f>
        <v>76</v>
      </c>
      <c r="AE5" s="56" t="n">
        <v>3</v>
      </c>
      <c r="AF5" s="526" t="n">
        <f aca="false">'Customer Growth'!AE30</f>
        <v>0.01315789474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customFormat="false" ht="12.75" hidden="false" customHeight="true" outlineLevel="0" collapsed="false">
      <c r="A6" s="56" t="str">
        <f aca="false">Inputs!B33</f>
        <v>Brand 4</v>
      </c>
      <c r="B6" s="5" t="n">
        <f aca="false">$AE$28*Inputs!$D33</f>
        <v>0</v>
      </c>
      <c r="C6" s="5" t="n">
        <f aca="false">$AE$29*Inputs!$D33</f>
        <v>65.78947368</v>
      </c>
      <c r="D6" s="5" t="n">
        <f aca="false">$AE$30*Inputs!$D33</f>
        <v>65.78947368</v>
      </c>
      <c r="E6" s="5" t="n">
        <f aca="false">$AE$31*Inputs!$D33</f>
        <v>131.5789474</v>
      </c>
      <c r="F6" s="5" t="n">
        <f aca="false">$AE$32*Inputs!$D33</f>
        <v>131.5789474</v>
      </c>
      <c r="G6" s="5" t="n">
        <f aca="false">$AE$33*Inputs!$D33</f>
        <v>197.3684211</v>
      </c>
      <c r="H6" s="5" t="n">
        <f aca="false">$AE$34*Inputs!$D33</f>
        <v>263.1578947</v>
      </c>
      <c r="I6" s="5" t="n">
        <f aca="false">$AE$35*Inputs!$D33</f>
        <v>394.7368421</v>
      </c>
      <c r="J6" s="5" t="n">
        <f aca="false">$AE$36*Inputs!$D33</f>
        <v>526.3157895</v>
      </c>
      <c r="K6" s="5" t="n">
        <f aca="false">$AE$37*Inputs!$D33</f>
        <v>789.4736842</v>
      </c>
      <c r="L6" s="5" t="n">
        <f aca="false">$AE$38*Inputs!$D33</f>
        <v>1118.421053</v>
      </c>
      <c r="M6" s="230" t="n">
        <f aca="false">$AE$39*Inputs!$D33</f>
        <v>1315.789474</v>
      </c>
      <c r="N6" s="522" t="n">
        <f aca="false">SUM(B6:M6)</f>
        <v>5000.00000076</v>
      </c>
      <c r="O6" s="527" t="n">
        <f aca="false">COUNTA(B6:M6)</f>
        <v>12</v>
      </c>
      <c r="P6" s="518"/>
      <c r="Q6" s="26" t="n">
        <f aca="false">Q5-5</f>
        <v>80</v>
      </c>
      <c r="R6" s="108"/>
      <c r="S6" s="4"/>
      <c r="T6" s="4"/>
      <c r="U6" s="4"/>
      <c r="V6" s="4"/>
      <c r="W6" s="4"/>
      <c r="X6" s="4"/>
      <c r="Y6" s="4"/>
      <c r="Z6" s="4"/>
      <c r="AA6" s="4"/>
      <c r="AB6" s="524" t="s">
        <v>389</v>
      </c>
      <c r="AC6" s="524" t="s">
        <v>389</v>
      </c>
      <c r="AD6" s="521" t="s">
        <v>393</v>
      </c>
      <c r="AE6" s="56" t="n">
        <v>4</v>
      </c>
      <c r="AF6" s="526" t="n">
        <f aca="false">'Customer Growth'!AE31</f>
        <v>0.02631578947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customFormat="false" ht="12.75" hidden="false" customHeight="true" outlineLevel="0" collapsed="false">
      <c r="A7" s="56" t="str">
        <f aca="false">Inputs!B34</f>
        <v>Brand 5</v>
      </c>
      <c r="B7" s="5" t="n">
        <f aca="false">$AE$28*Inputs!$D34</f>
        <v>0</v>
      </c>
      <c r="C7" s="5" t="n">
        <f aca="false">$AE$29*Inputs!$D34</f>
        <v>65.78947368</v>
      </c>
      <c r="D7" s="5" t="n">
        <f aca="false">$AE$30*Inputs!$D34</f>
        <v>65.78947368</v>
      </c>
      <c r="E7" s="5" t="n">
        <f aca="false">$AE$31*Inputs!$D34</f>
        <v>131.5789474</v>
      </c>
      <c r="F7" s="5" t="n">
        <f aca="false">$AE$32*Inputs!$D34</f>
        <v>131.5789474</v>
      </c>
      <c r="G7" s="5" t="n">
        <f aca="false">$AE$33*Inputs!$D34</f>
        <v>197.3684211</v>
      </c>
      <c r="H7" s="5" t="n">
        <f aca="false">$AE$34*Inputs!$D34</f>
        <v>263.1578947</v>
      </c>
      <c r="I7" s="5" t="n">
        <f aca="false">$AE$35*Inputs!$D34</f>
        <v>394.7368421</v>
      </c>
      <c r="J7" s="5" t="n">
        <f aca="false">$AE$36*Inputs!$D34</f>
        <v>526.3157895</v>
      </c>
      <c r="K7" s="5" t="n">
        <f aca="false">$AE$37*Inputs!$D34</f>
        <v>789.4736842</v>
      </c>
      <c r="L7" s="5" t="n">
        <f aca="false">$AE$38*Inputs!$D34</f>
        <v>1118.421053</v>
      </c>
      <c r="M7" s="230" t="n">
        <f aca="false">$AE$39*Inputs!$D34</f>
        <v>1315.789474</v>
      </c>
      <c r="N7" s="522" t="n">
        <f aca="false">SUM(B7:M7)</f>
        <v>5000.00000076</v>
      </c>
      <c r="O7" s="527" t="n">
        <f aca="false">COUNTA(B7:M7)</f>
        <v>12</v>
      </c>
      <c r="P7" s="518"/>
      <c r="Q7" s="26" t="n">
        <f aca="false">Q6-5</f>
        <v>75</v>
      </c>
      <c r="R7" s="108"/>
      <c r="S7" s="4"/>
      <c r="T7" s="4"/>
      <c r="U7" s="4"/>
      <c r="V7" s="4"/>
      <c r="W7" s="4"/>
      <c r="X7" s="4"/>
      <c r="Y7" s="4"/>
      <c r="Z7" s="4"/>
      <c r="AA7" s="4"/>
      <c r="AB7" s="524" t="s">
        <v>389</v>
      </c>
      <c r="AC7" s="524" t="s">
        <v>389</v>
      </c>
      <c r="AD7" s="525" t="s">
        <v>80</v>
      </c>
      <c r="AE7" s="56" t="n">
        <v>5</v>
      </c>
      <c r="AF7" s="526" t="n">
        <f aca="false">'Customer Growth'!AE32</f>
        <v>0.02631578947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customFormat="false" ht="12.75" hidden="false" customHeight="true" outlineLevel="0" collapsed="false">
      <c r="A8" s="56" t="str">
        <f aca="false">Inputs!B35</f>
        <v>Brand 6</v>
      </c>
      <c r="B8" s="5" t="n">
        <f aca="false">$AE$28*Inputs!$D35</f>
        <v>0</v>
      </c>
      <c r="C8" s="5" t="n">
        <f aca="false">$AE$29*Inputs!$D35</f>
        <v>65.78947368</v>
      </c>
      <c r="D8" s="5" t="n">
        <f aca="false">$AE$30*Inputs!$D35</f>
        <v>65.78947368</v>
      </c>
      <c r="E8" s="5" t="n">
        <f aca="false">$AE$31*Inputs!$D35</f>
        <v>131.5789474</v>
      </c>
      <c r="F8" s="5" t="n">
        <f aca="false">$AE$32*Inputs!$D35</f>
        <v>131.5789474</v>
      </c>
      <c r="G8" s="5" t="n">
        <f aca="false">$AE$33*Inputs!$D35</f>
        <v>197.3684211</v>
      </c>
      <c r="H8" s="5" t="n">
        <f aca="false">$AE$34*Inputs!$D35</f>
        <v>263.1578947</v>
      </c>
      <c r="I8" s="5" t="n">
        <f aca="false">$AE$35*Inputs!$D35</f>
        <v>394.7368421</v>
      </c>
      <c r="J8" s="5" t="n">
        <f aca="false">$AE$36*Inputs!$D35</f>
        <v>526.3157895</v>
      </c>
      <c r="K8" s="5" t="n">
        <f aca="false">$AE$37*Inputs!$D35</f>
        <v>789.4736842</v>
      </c>
      <c r="L8" s="5" t="n">
        <f aca="false">$AE$38*Inputs!$D35</f>
        <v>1118.421053</v>
      </c>
      <c r="M8" s="230" t="n">
        <f aca="false">$AE$39*Inputs!$D35</f>
        <v>1315.789474</v>
      </c>
      <c r="N8" s="522" t="n">
        <f aca="false">SUM(B8:M8)</f>
        <v>5000.00000076</v>
      </c>
      <c r="O8" s="527" t="n">
        <f aca="false">COUNTA(B8:M8)</f>
        <v>12</v>
      </c>
      <c r="P8" s="518"/>
      <c r="Q8" s="26" t="n">
        <f aca="false">Q7-5</f>
        <v>70</v>
      </c>
      <c r="R8" s="108"/>
      <c r="S8" s="4"/>
      <c r="T8" s="4"/>
      <c r="U8" s="4"/>
      <c r="V8" s="4"/>
      <c r="W8" s="4"/>
      <c r="X8" s="4"/>
      <c r="Y8" s="4"/>
      <c r="Z8" s="4"/>
      <c r="AA8" s="4"/>
      <c r="AB8" s="524" t="s">
        <v>389</v>
      </c>
      <c r="AC8" s="524" t="s">
        <v>389</v>
      </c>
      <c r="AD8" s="525" t="s">
        <v>392</v>
      </c>
      <c r="AE8" s="56" t="n">
        <v>6</v>
      </c>
      <c r="AF8" s="526" t="n">
        <f aca="false">'Customer Growth'!AE33</f>
        <v>0.03947368421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customFormat="false" ht="12.75" hidden="false" customHeight="true" outlineLevel="0" collapsed="false">
      <c r="A9" s="56" t="str">
        <f aca="false">Inputs!B36</f>
        <v>Brand 7</v>
      </c>
      <c r="B9" s="5" t="n">
        <f aca="false">$AE$28*Inputs!$D36</f>
        <v>0</v>
      </c>
      <c r="C9" s="5" t="n">
        <f aca="false">$AE$29*Inputs!$D36</f>
        <v>11.43657895</v>
      </c>
      <c r="D9" s="5" t="n">
        <f aca="false">$AE$30*Inputs!$D36</f>
        <v>11.43657895</v>
      </c>
      <c r="E9" s="5" t="n">
        <f aca="false">$AE$31*Inputs!$D36</f>
        <v>22.87315789</v>
      </c>
      <c r="F9" s="5" t="n">
        <f aca="false">$AE$32*Inputs!$D36</f>
        <v>22.87315789</v>
      </c>
      <c r="G9" s="5" t="n">
        <f aca="false">$AE$33*Inputs!$D36</f>
        <v>34.30973684</v>
      </c>
      <c r="H9" s="5" t="n">
        <f aca="false">$AE$34*Inputs!$D36</f>
        <v>45.74631579</v>
      </c>
      <c r="I9" s="5" t="n">
        <f aca="false">$AE$35*Inputs!$D36</f>
        <v>68.61947368</v>
      </c>
      <c r="J9" s="5" t="n">
        <f aca="false">$AE$36*Inputs!$D36</f>
        <v>91.49263158</v>
      </c>
      <c r="K9" s="5" t="n">
        <f aca="false">$AE$37*Inputs!$D36</f>
        <v>137.2389474</v>
      </c>
      <c r="L9" s="5" t="n">
        <f aca="false">$AE$38*Inputs!$D36</f>
        <v>194.4218421</v>
      </c>
      <c r="M9" s="230" t="n">
        <f aca="false">$AE$39*Inputs!$D36</f>
        <v>228.7315789</v>
      </c>
      <c r="N9" s="522" t="n">
        <f aca="false">SUM(B9:M9)</f>
        <v>869.17999997</v>
      </c>
      <c r="O9" s="527" t="n">
        <f aca="false">COUNTA(B9:M9)</f>
        <v>12</v>
      </c>
      <c r="P9" s="518"/>
      <c r="Q9" s="26" t="n">
        <f aca="false">Q8-5</f>
        <v>65</v>
      </c>
      <c r="R9" s="108"/>
      <c r="S9" s="4"/>
      <c r="T9" s="4"/>
      <c r="U9" s="4"/>
      <c r="V9" s="4"/>
      <c r="W9" s="4"/>
      <c r="X9" s="4"/>
      <c r="Y9" s="4"/>
      <c r="Z9" s="4"/>
      <c r="AA9" s="4"/>
      <c r="AB9" s="524" t="s">
        <v>389</v>
      </c>
      <c r="AC9" s="524" t="s">
        <v>389</v>
      </c>
      <c r="AD9" s="528" t="n">
        <f aca="false">20*12</f>
        <v>240</v>
      </c>
      <c r="AE9" s="56" t="n">
        <v>7</v>
      </c>
      <c r="AF9" s="526" t="n">
        <f aca="false">'Customer Growth'!AE34</f>
        <v>0.05263157895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customFormat="false" ht="12.75" hidden="false" customHeight="true" outlineLevel="0" collapsed="false">
      <c r="A10" s="56" t="str">
        <f aca="false">Inputs!B37</f>
        <v>Brand 8</v>
      </c>
      <c r="B10" s="5" t="n">
        <f aca="false">$AE$28*Inputs!$D37</f>
        <v>0</v>
      </c>
      <c r="C10" s="5" t="n">
        <f aca="false">$AE$29*Inputs!$D37</f>
        <v>65.78947368</v>
      </c>
      <c r="D10" s="5" t="n">
        <f aca="false">$AE$30*Inputs!$D37</f>
        <v>65.78947368</v>
      </c>
      <c r="E10" s="5" t="n">
        <f aca="false">$AE$31*Inputs!$D37</f>
        <v>131.5789474</v>
      </c>
      <c r="F10" s="5" t="n">
        <f aca="false">$AE$32*Inputs!$D37</f>
        <v>131.5789474</v>
      </c>
      <c r="G10" s="5" t="n">
        <f aca="false">$AE$33*Inputs!$D37</f>
        <v>197.3684211</v>
      </c>
      <c r="H10" s="5" t="n">
        <f aca="false">$AE$34*Inputs!$D37</f>
        <v>263.1578947</v>
      </c>
      <c r="I10" s="5" t="n">
        <f aca="false">$AE$35*Inputs!$D37</f>
        <v>394.7368421</v>
      </c>
      <c r="J10" s="5" t="n">
        <f aca="false">$AE$36*Inputs!$D37</f>
        <v>526.3157895</v>
      </c>
      <c r="K10" s="5" t="n">
        <f aca="false">$AE$37*Inputs!$D37</f>
        <v>789.4736842</v>
      </c>
      <c r="L10" s="5" t="n">
        <f aca="false">$AE$38*Inputs!$D37</f>
        <v>1118.421053</v>
      </c>
      <c r="M10" s="230" t="n">
        <f aca="false">$AE$39*Inputs!$D37</f>
        <v>1315.789474</v>
      </c>
      <c r="N10" s="522" t="n">
        <f aca="false">SUM(B10:M10)</f>
        <v>5000.00000076</v>
      </c>
      <c r="O10" s="527" t="n">
        <f aca="false">COUNTA(B10:M10)</f>
        <v>12</v>
      </c>
      <c r="P10" s="518"/>
      <c r="Q10" s="26" t="n">
        <f aca="false">Q9-5</f>
        <v>60</v>
      </c>
      <c r="R10" s="108"/>
      <c r="S10" s="4"/>
      <c r="T10" s="4"/>
      <c r="U10" s="4"/>
      <c r="V10" s="4"/>
      <c r="W10" s="4"/>
      <c r="X10" s="4"/>
      <c r="Y10" s="4"/>
      <c r="Z10" s="4"/>
      <c r="AA10" s="524" t="s">
        <v>389</v>
      </c>
      <c r="AB10" s="524" t="s">
        <v>389</v>
      </c>
      <c r="AC10" s="524" t="s">
        <v>389</v>
      </c>
      <c r="AD10" s="521" t="s">
        <v>394</v>
      </c>
      <c r="AE10" s="56" t="n">
        <v>8</v>
      </c>
      <c r="AF10" s="526" t="n">
        <f aca="false">'Customer Growth'!AE35</f>
        <v>0.07894736842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customFormat="false" ht="13.5" hidden="false" customHeight="true" outlineLevel="0" collapsed="false">
      <c r="A11" s="30" t="str">
        <f aca="false">Inputs!B38</f>
        <v>Brand 9</v>
      </c>
      <c r="B11" s="72" t="n">
        <f aca="false">$AE$28*Inputs!$D38</f>
        <v>0</v>
      </c>
      <c r="C11" s="72" t="n">
        <f aca="false">$AE$29*Inputs!$D38</f>
        <v>65.78947368</v>
      </c>
      <c r="D11" s="72" t="n">
        <f aca="false">$AE$30*Inputs!$D38</f>
        <v>65.78947368</v>
      </c>
      <c r="E11" s="72" t="n">
        <f aca="false">$AE$31*Inputs!$D38</f>
        <v>131.5789474</v>
      </c>
      <c r="F11" s="72" t="n">
        <f aca="false">$AE$32*Inputs!$D38</f>
        <v>131.5789474</v>
      </c>
      <c r="G11" s="72" t="n">
        <f aca="false">$AE$33*Inputs!$D38</f>
        <v>197.3684211</v>
      </c>
      <c r="H11" s="72" t="n">
        <f aca="false">$AE$34*Inputs!$D38</f>
        <v>263.1578947</v>
      </c>
      <c r="I11" s="72" t="n">
        <f aca="false">$AE$35*Inputs!$D38</f>
        <v>394.7368421</v>
      </c>
      <c r="J11" s="72" t="n">
        <f aca="false">$AE$36*Inputs!$D38</f>
        <v>526.3157895</v>
      </c>
      <c r="K11" s="72" t="n">
        <f aca="false">$AE$37*Inputs!$D38</f>
        <v>789.4736842</v>
      </c>
      <c r="L11" s="72" t="n">
        <f aca="false">$AE$38*Inputs!$D38</f>
        <v>1118.421053</v>
      </c>
      <c r="M11" s="283" t="n">
        <f aca="false">$AE$39*Inputs!$D38</f>
        <v>1315.789474</v>
      </c>
      <c r="N11" s="522" t="n">
        <f aca="false">SUM(B11:M11)</f>
        <v>5000.00000076</v>
      </c>
      <c r="O11" s="527" t="n">
        <f aca="false">COUNTA(B11:M11)</f>
        <v>12</v>
      </c>
      <c r="P11" s="518"/>
      <c r="Q11" s="26" t="n">
        <f aca="false">Q10-5</f>
        <v>55</v>
      </c>
      <c r="R11" s="108"/>
      <c r="S11" s="4"/>
      <c r="T11" s="4"/>
      <c r="U11" s="4"/>
      <c r="V11" s="4"/>
      <c r="W11" s="4"/>
      <c r="X11" s="4"/>
      <c r="Y11" s="4"/>
      <c r="Z11" s="4"/>
      <c r="AA11" s="524" t="s">
        <v>389</v>
      </c>
      <c r="AB11" s="524" t="s">
        <v>389</v>
      </c>
      <c r="AC11" s="524" t="s">
        <v>389</v>
      </c>
      <c r="AD11" s="525" t="s">
        <v>80</v>
      </c>
      <c r="AE11" s="56" t="n">
        <v>9</v>
      </c>
      <c r="AF11" s="526" t="n">
        <f aca="false">'Customer Growth'!AE36</f>
        <v>0.1052631579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customFormat="false" ht="13.5" hidden="false" customHeight="true" outlineLevel="0" collapsed="false">
      <c r="A12" s="43" t="s">
        <v>77</v>
      </c>
      <c r="B12" s="156" t="n">
        <f aca="false">SUM(B3:B11)</f>
        <v>0</v>
      </c>
      <c r="C12" s="156" t="n">
        <f aca="false">SUM(C3:C11)</f>
        <v>735.12078953</v>
      </c>
      <c r="D12" s="156" t="n">
        <f aca="false">SUM(D3:D11)</f>
        <v>735.12078953</v>
      </c>
      <c r="E12" s="156" t="n">
        <f aca="false">SUM(E3:E11)</f>
        <v>1470.24157909</v>
      </c>
      <c r="F12" s="156" t="n">
        <f aca="false">SUM(F3:F11)</f>
        <v>1470.24157909</v>
      </c>
      <c r="G12" s="156" t="n">
        <f aca="false">SUM(G3:G11)</f>
        <v>2205.36236874</v>
      </c>
      <c r="H12" s="156" t="n">
        <f aca="false">SUM(H3:H11)</f>
        <v>2940.48315769</v>
      </c>
      <c r="I12" s="156" t="n">
        <f aca="false">SUM(I3:I11)</f>
        <v>4410.72473648</v>
      </c>
      <c r="J12" s="156" t="n">
        <f aca="false">SUM(J3:J11)</f>
        <v>5880.96631558</v>
      </c>
      <c r="K12" s="156" t="n">
        <f aca="false">SUM(K3:K11)</f>
        <v>8821.4494736</v>
      </c>
      <c r="L12" s="156" t="n">
        <f aca="false">SUM(L3:L11)</f>
        <v>12497.0534231</v>
      </c>
      <c r="M12" s="156" t="n">
        <f aca="false">SUM(M3:M11)</f>
        <v>14702.4157909</v>
      </c>
      <c r="N12" s="529" t="s">
        <v>395</v>
      </c>
      <c r="O12" s="530" t="n">
        <f aca="false">AVERAGE(O3:O11)</f>
        <v>12</v>
      </c>
      <c r="P12" s="518"/>
      <c r="Q12" s="26" t="n">
        <f aca="false">Q11-5</f>
        <v>50</v>
      </c>
      <c r="R12" s="108"/>
      <c r="S12" s="4"/>
      <c r="T12" s="4"/>
      <c r="U12" s="4"/>
      <c r="V12" s="4"/>
      <c r="W12" s="4"/>
      <c r="X12" s="4"/>
      <c r="Y12" s="4"/>
      <c r="Z12" s="4"/>
      <c r="AA12" s="524" t="s">
        <v>389</v>
      </c>
      <c r="AB12" s="524" t="s">
        <v>389</v>
      </c>
      <c r="AC12" s="524" t="s">
        <v>389</v>
      </c>
      <c r="AD12" s="525" t="s">
        <v>391</v>
      </c>
      <c r="AE12" s="56" t="n">
        <v>10</v>
      </c>
      <c r="AF12" s="526" t="n">
        <f aca="false">'Customer Growth'!AE37</f>
        <v>0.1578947368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customFormat="false" ht="13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18"/>
      <c r="Q13" s="26" t="n">
        <f aca="false">Q12-5</f>
        <v>45</v>
      </c>
      <c r="R13" s="108"/>
      <c r="S13" s="4"/>
      <c r="T13" s="4"/>
      <c r="U13" s="4"/>
      <c r="V13" s="4"/>
      <c r="W13" s="4"/>
      <c r="X13" s="4"/>
      <c r="Y13" s="4"/>
      <c r="Z13" s="4"/>
      <c r="AA13" s="524" t="s">
        <v>389</v>
      </c>
      <c r="AB13" s="524" t="s">
        <v>389</v>
      </c>
      <c r="AC13" s="524" t="s">
        <v>389</v>
      </c>
      <c r="AD13" s="531" t="n">
        <f aca="false">AD5/AD9</f>
        <v>0.3166666667</v>
      </c>
      <c r="AE13" s="56" t="n">
        <v>11</v>
      </c>
      <c r="AF13" s="526" t="n">
        <f aca="false">'Customer Growth'!AE38</f>
        <v>0.2236842105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customFormat="false" ht="13.5" hidden="false" customHeight="true" outlineLevel="0" collapsed="false">
      <c r="A14" s="19" t="s">
        <v>80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427"/>
      <c r="O14" s="2"/>
      <c r="P14" s="518"/>
      <c r="Q14" s="26" t="n">
        <f aca="false">Q13-5</f>
        <v>40</v>
      </c>
      <c r="R14" s="108"/>
      <c r="S14" s="4"/>
      <c r="T14" s="4"/>
      <c r="U14" s="4"/>
      <c r="V14" s="4"/>
      <c r="W14" s="4"/>
      <c r="X14" s="4"/>
      <c r="Y14" s="4"/>
      <c r="Z14" s="524" t="s">
        <v>389</v>
      </c>
      <c r="AA14" s="524" t="s">
        <v>389</v>
      </c>
      <c r="AB14" s="524" t="s">
        <v>389</v>
      </c>
      <c r="AC14" s="532" t="s">
        <v>389</v>
      </c>
      <c r="AD14" s="2"/>
      <c r="AE14" s="68" t="n">
        <v>12</v>
      </c>
      <c r="AF14" s="533" t="n">
        <f aca="false">'Customer Growth'!AE39</f>
        <v>0.2631578947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customFormat="false" ht="13.5" hidden="false" customHeight="true" outlineLevel="0" collapsed="false">
      <c r="A15" s="513" t="s">
        <v>237</v>
      </c>
      <c r="B15" s="514" t="n">
        <v>39479</v>
      </c>
      <c r="C15" s="514" t="n">
        <f aca="false">B15+31</f>
        <v>39510</v>
      </c>
      <c r="D15" s="514" t="n">
        <f aca="false">C15+31</f>
        <v>39541</v>
      </c>
      <c r="E15" s="514" t="n">
        <f aca="false">D15+31</f>
        <v>39572</v>
      </c>
      <c r="F15" s="514" t="n">
        <f aca="false">E15+31</f>
        <v>39603</v>
      </c>
      <c r="G15" s="514" t="n">
        <f aca="false">F15+31</f>
        <v>39634</v>
      </c>
      <c r="H15" s="514" t="n">
        <f aca="false">G15+31</f>
        <v>39665</v>
      </c>
      <c r="I15" s="514" t="n">
        <f aca="false">H15+31</f>
        <v>39696</v>
      </c>
      <c r="J15" s="514" t="n">
        <f aca="false">I15+31</f>
        <v>39727</v>
      </c>
      <c r="K15" s="514" t="n">
        <f aca="false">J15+31</f>
        <v>39758</v>
      </c>
      <c r="L15" s="514" t="n">
        <f aca="false">K15+31</f>
        <v>39789</v>
      </c>
      <c r="M15" s="515" t="n">
        <f aca="false">L15+31</f>
        <v>39820</v>
      </c>
      <c r="N15" s="534" t="s">
        <v>24</v>
      </c>
      <c r="O15" s="2"/>
      <c r="P15" s="518"/>
      <c r="Q15" s="26" t="n">
        <f aca="false">Q14-5</f>
        <v>35</v>
      </c>
      <c r="R15" s="108"/>
      <c r="S15" s="4"/>
      <c r="T15" s="4"/>
      <c r="U15" s="4"/>
      <c r="V15" s="4"/>
      <c r="W15" s="4"/>
      <c r="X15" s="4"/>
      <c r="Y15" s="4"/>
      <c r="Z15" s="524" t="s">
        <v>389</v>
      </c>
      <c r="AA15" s="524" t="s">
        <v>389</v>
      </c>
      <c r="AB15" s="524" t="s">
        <v>389</v>
      </c>
      <c r="AC15" s="532" t="s">
        <v>389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customFormat="false" ht="12.75" hidden="false" customHeight="true" outlineLevel="0" collapsed="false">
      <c r="A16" s="56" t="str">
        <f aca="false">A3</f>
        <v>Brand 1</v>
      </c>
      <c r="B16" s="402"/>
      <c r="C16" s="402"/>
      <c r="D16" s="402"/>
      <c r="E16" s="402"/>
      <c r="F16" s="402"/>
      <c r="G16" s="402"/>
      <c r="H16" s="402"/>
      <c r="I16" s="402"/>
      <c r="J16" s="402"/>
      <c r="K16" s="402"/>
      <c r="L16" s="402"/>
      <c r="M16" s="403" t="n">
        <f aca="false">$AD52*Inputs!$D$30</f>
        <v>0</v>
      </c>
      <c r="N16" s="535" t="n">
        <f aca="false">SUM(B16:M16)</f>
        <v>0</v>
      </c>
      <c r="O16" s="2"/>
      <c r="P16" s="518"/>
      <c r="Q16" s="26" t="n">
        <f aca="false">Q15-5</f>
        <v>30</v>
      </c>
      <c r="R16" s="108"/>
      <c r="S16" s="4"/>
      <c r="T16" s="4"/>
      <c r="U16" s="4"/>
      <c r="V16" s="4"/>
      <c r="W16" s="4"/>
      <c r="X16" s="4"/>
      <c r="Y16" s="524" t="s">
        <v>389</v>
      </c>
      <c r="Z16" s="524" t="s">
        <v>389</v>
      </c>
      <c r="AA16" s="524" t="s">
        <v>389</v>
      </c>
      <c r="AB16" s="524" t="s">
        <v>389</v>
      </c>
      <c r="AC16" s="532" t="s">
        <v>389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customFormat="false" ht="12.75" hidden="false" customHeight="true" outlineLevel="0" collapsed="false">
      <c r="A17" s="56" t="str">
        <f aca="false">A4</f>
        <v>Brand 2</v>
      </c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3"/>
      <c r="N17" s="536" t="n">
        <f aca="false">SUM(B17:M17)</f>
        <v>0</v>
      </c>
      <c r="O17" s="2"/>
      <c r="P17" s="518"/>
      <c r="Q17" s="26" t="n">
        <f aca="false">Q16-5</f>
        <v>25</v>
      </c>
      <c r="R17" s="108"/>
      <c r="S17" s="4"/>
      <c r="T17" s="4"/>
      <c r="U17" s="4"/>
      <c r="V17" s="4"/>
      <c r="W17" s="4"/>
      <c r="X17" s="4"/>
      <c r="Y17" s="524" t="s">
        <v>389</v>
      </c>
      <c r="Z17" s="524" t="s">
        <v>389</v>
      </c>
      <c r="AA17" s="524" t="s">
        <v>389</v>
      </c>
      <c r="AB17" s="524" t="s">
        <v>389</v>
      </c>
      <c r="AC17" s="532" t="s">
        <v>389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customFormat="false" ht="12.75" hidden="false" customHeight="true" outlineLevel="0" collapsed="false">
      <c r="A18" s="56" t="str">
        <f aca="false">A5</f>
        <v>Brand 3</v>
      </c>
      <c r="B18" s="402"/>
      <c r="C18" s="402"/>
      <c r="D18" s="402"/>
      <c r="E18" s="402"/>
      <c r="F18" s="402"/>
      <c r="G18" s="402"/>
      <c r="H18" s="402"/>
      <c r="I18" s="402"/>
      <c r="J18" s="402"/>
      <c r="K18" s="402"/>
      <c r="L18" s="402"/>
      <c r="M18" s="403"/>
      <c r="N18" s="536" t="n">
        <f aca="false">SUM(B18:M18)</f>
        <v>0</v>
      </c>
      <c r="O18" s="2"/>
      <c r="P18" s="518"/>
      <c r="Q18" s="26" t="n">
        <f aca="false">Q17-5</f>
        <v>20</v>
      </c>
      <c r="R18" s="108"/>
      <c r="S18" s="4"/>
      <c r="T18" s="4"/>
      <c r="U18" s="4"/>
      <c r="V18" s="4"/>
      <c r="W18" s="4"/>
      <c r="X18" s="524" t="s">
        <v>389</v>
      </c>
      <c r="Y18" s="524" t="s">
        <v>389</v>
      </c>
      <c r="Z18" s="524" t="s">
        <v>389</v>
      </c>
      <c r="AA18" s="524" t="s">
        <v>389</v>
      </c>
      <c r="AB18" s="524" t="s">
        <v>389</v>
      </c>
      <c r="AC18" s="532" t="s">
        <v>389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customFormat="false" ht="12.75" hidden="false" customHeight="true" outlineLevel="0" collapsed="false">
      <c r="A19" s="56" t="str">
        <f aca="false">A6</f>
        <v>Brand 4</v>
      </c>
      <c r="B19" s="402"/>
      <c r="C19" s="402"/>
      <c r="D19" s="402"/>
      <c r="E19" s="402"/>
      <c r="F19" s="402"/>
      <c r="G19" s="402"/>
      <c r="H19" s="402"/>
      <c r="I19" s="402"/>
      <c r="J19" s="402"/>
      <c r="K19" s="402"/>
      <c r="L19" s="402"/>
      <c r="M19" s="403"/>
      <c r="N19" s="536" t="n">
        <f aca="false">SUM(B19:M19)</f>
        <v>0</v>
      </c>
      <c r="O19" s="2"/>
      <c r="P19" s="518"/>
      <c r="Q19" s="26" t="n">
        <f aca="false">Q18-5</f>
        <v>15</v>
      </c>
      <c r="R19" s="108"/>
      <c r="S19" s="4"/>
      <c r="T19" s="4"/>
      <c r="U19" s="4"/>
      <c r="V19" s="4"/>
      <c r="W19" s="524" t="s">
        <v>389</v>
      </c>
      <c r="X19" s="524" t="s">
        <v>389</v>
      </c>
      <c r="Y19" s="524" t="s">
        <v>389</v>
      </c>
      <c r="Z19" s="524" t="s">
        <v>389</v>
      </c>
      <c r="AA19" s="524" t="s">
        <v>389</v>
      </c>
      <c r="AB19" s="524" t="s">
        <v>389</v>
      </c>
      <c r="AC19" s="532" t="s">
        <v>389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customFormat="false" ht="12.75" hidden="false" customHeight="true" outlineLevel="0" collapsed="false">
      <c r="A20" s="56" t="str">
        <f aca="false">A7</f>
        <v>Brand 5</v>
      </c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3"/>
      <c r="N20" s="536" t="n">
        <f aca="false">SUM(B20:M20)</f>
        <v>0</v>
      </c>
      <c r="O20" s="2"/>
      <c r="P20" s="518"/>
      <c r="Q20" s="26" t="n">
        <f aca="false">Q19-5</f>
        <v>10</v>
      </c>
      <c r="R20" s="108"/>
      <c r="S20" s="4"/>
      <c r="T20" s="4"/>
      <c r="U20" s="524" t="s">
        <v>389</v>
      </c>
      <c r="V20" s="524" t="s">
        <v>389</v>
      </c>
      <c r="W20" s="524" t="s">
        <v>389</v>
      </c>
      <c r="X20" s="524" t="s">
        <v>389</v>
      </c>
      <c r="Y20" s="524" t="s">
        <v>389</v>
      </c>
      <c r="Z20" s="524" t="s">
        <v>389</v>
      </c>
      <c r="AA20" s="524" t="s">
        <v>389</v>
      </c>
      <c r="AB20" s="524" t="s">
        <v>389</v>
      </c>
      <c r="AC20" s="532" t="s">
        <v>389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customFormat="false" ht="13.5" hidden="false" customHeight="true" outlineLevel="0" collapsed="false">
      <c r="A21" s="56" t="str">
        <f aca="false">A8</f>
        <v>Brand 6</v>
      </c>
      <c r="B21" s="402"/>
      <c r="C21" s="402"/>
      <c r="D21" s="402"/>
      <c r="E21" s="402"/>
      <c r="F21" s="402"/>
      <c r="G21" s="402"/>
      <c r="H21" s="402"/>
      <c r="I21" s="402"/>
      <c r="J21" s="402"/>
      <c r="K21" s="402"/>
      <c r="L21" s="402"/>
      <c r="M21" s="403"/>
      <c r="N21" s="536" t="n">
        <f aca="false">SUM(B21:M21)</f>
        <v>0</v>
      </c>
      <c r="O21" s="2"/>
      <c r="P21" s="518"/>
      <c r="Q21" s="26" t="n">
        <f aca="false">Q20-5</f>
        <v>5</v>
      </c>
      <c r="R21" s="537"/>
      <c r="S21" s="538" t="s">
        <v>389</v>
      </c>
      <c r="T21" s="538" t="s">
        <v>389</v>
      </c>
      <c r="U21" s="538" t="s">
        <v>389</v>
      </c>
      <c r="V21" s="538" t="s">
        <v>389</v>
      </c>
      <c r="W21" s="538" t="s">
        <v>389</v>
      </c>
      <c r="X21" s="538" t="s">
        <v>389</v>
      </c>
      <c r="Y21" s="538" t="s">
        <v>389</v>
      </c>
      <c r="Z21" s="538" t="s">
        <v>389</v>
      </c>
      <c r="AA21" s="538" t="s">
        <v>389</v>
      </c>
      <c r="AB21" s="538" t="s">
        <v>389</v>
      </c>
      <c r="AC21" s="539" t="s">
        <v>389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customFormat="false" ht="13.5" hidden="false" customHeight="true" outlineLevel="0" collapsed="false">
      <c r="A22" s="56" t="str">
        <f aca="false">A9</f>
        <v>Brand 7</v>
      </c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3"/>
      <c r="N22" s="536" t="n">
        <f aca="false">SUM(B22:M22)</f>
        <v>0</v>
      </c>
      <c r="O22" s="2"/>
      <c r="P22" s="518"/>
      <c r="Q22" s="540" t="s">
        <v>391</v>
      </c>
      <c r="R22" s="307" t="n">
        <f aca="false">COUNTA(R2:R21)*5/100</f>
        <v>0</v>
      </c>
      <c r="S22" s="307" t="n">
        <f aca="false">COUNTA(S2:S21)*5/100</f>
        <v>0.05</v>
      </c>
      <c r="T22" s="307" t="n">
        <f aca="false">COUNTA(T2:T21)*5/100</f>
        <v>0.05</v>
      </c>
      <c r="U22" s="307" t="n">
        <f aca="false">COUNTA(U2:U21)*5/100</f>
        <v>0.1</v>
      </c>
      <c r="V22" s="307" t="n">
        <f aca="false">COUNTA(V2:V21)*5/100</f>
        <v>0.1</v>
      </c>
      <c r="W22" s="307" t="n">
        <f aca="false">COUNTA(W2:W21)*5/100</f>
        <v>0.15</v>
      </c>
      <c r="X22" s="307" t="n">
        <f aca="false">COUNTA(X2:X21)*5/100</f>
        <v>0.2</v>
      </c>
      <c r="Y22" s="307" t="n">
        <f aca="false">COUNTA(Y2:Y21)*5/100</f>
        <v>0.3</v>
      </c>
      <c r="Z22" s="307" t="n">
        <f aca="false">COUNTA(Z2:Z21)*5/100</f>
        <v>0.4</v>
      </c>
      <c r="AA22" s="307" t="n">
        <f aca="false">COUNTA(AA2:AA21)*5/100</f>
        <v>0.6</v>
      </c>
      <c r="AB22" s="307" t="n">
        <f aca="false">COUNTA(AB2:AB21)*5/100</f>
        <v>0.85</v>
      </c>
      <c r="AC22" s="541" t="n">
        <f aca="false">COUNTA(AC2:AC21)*5/100</f>
        <v>1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customFormat="false" ht="12.75" hidden="false" customHeight="true" outlineLevel="0" collapsed="false">
      <c r="A23" s="56" t="str">
        <f aca="false">A10</f>
        <v>Brand 8</v>
      </c>
      <c r="B23" s="402"/>
      <c r="C23" s="402"/>
      <c r="D23" s="402"/>
      <c r="E23" s="402"/>
      <c r="F23" s="402"/>
      <c r="G23" s="402"/>
      <c r="H23" s="402"/>
      <c r="I23" s="402"/>
      <c r="J23" s="402"/>
      <c r="K23" s="402"/>
      <c r="L23" s="402"/>
      <c r="M23" s="403"/>
      <c r="N23" s="536" t="n">
        <f aca="false">SUM(B23:M23)</f>
        <v>0</v>
      </c>
      <c r="O23" s="2"/>
      <c r="P23" s="56"/>
      <c r="Q23" s="2"/>
      <c r="R23" s="27" t="n">
        <v>1</v>
      </c>
      <c r="S23" s="27" t="n">
        <f aca="false">R23+1</f>
        <v>2</v>
      </c>
      <c r="T23" s="27" t="n">
        <f aca="false">S23+1</f>
        <v>3</v>
      </c>
      <c r="U23" s="27" t="n">
        <f aca="false">T23+1</f>
        <v>4</v>
      </c>
      <c r="V23" s="27" t="n">
        <f aca="false">U23+1</f>
        <v>5</v>
      </c>
      <c r="W23" s="27" t="n">
        <f aca="false">V23+1</f>
        <v>6</v>
      </c>
      <c r="X23" s="27" t="n">
        <f aca="false">W23+1</f>
        <v>7</v>
      </c>
      <c r="Y23" s="27" t="n">
        <f aca="false">X23+1</f>
        <v>8</v>
      </c>
      <c r="Z23" s="27" t="n">
        <f aca="false">Y23+1</f>
        <v>9</v>
      </c>
      <c r="AA23" s="27" t="n">
        <f aca="false">Z23+1</f>
        <v>10</v>
      </c>
      <c r="AB23" s="27" t="n">
        <f aca="false">AA23+1</f>
        <v>11</v>
      </c>
      <c r="AC23" s="28" t="n">
        <f aca="false">AB23+1</f>
        <v>12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customFormat="false" ht="13.5" hidden="false" customHeight="true" outlineLevel="0" collapsed="false">
      <c r="A24" s="30" t="str">
        <f aca="false">A11</f>
        <v>Brand 9</v>
      </c>
      <c r="B24" s="468"/>
      <c r="C24" s="468"/>
      <c r="D24" s="468"/>
      <c r="E24" s="468"/>
      <c r="F24" s="468"/>
      <c r="G24" s="468"/>
      <c r="H24" s="468"/>
      <c r="I24" s="468"/>
      <c r="J24" s="468"/>
      <c r="K24" s="468"/>
      <c r="L24" s="468"/>
      <c r="M24" s="469"/>
      <c r="N24" s="542" t="n">
        <f aca="false">SUM(B24:M24)</f>
        <v>0</v>
      </c>
      <c r="O24" s="2"/>
      <c r="P24" s="68"/>
      <c r="Q24" s="543"/>
      <c r="R24" s="544" t="s">
        <v>396</v>
      </c>
      <c r="S24" s="544"/>
      <c r="T24" s="544"/>
      <c r="U24" s="544"/>
      <c r="V24" s="544"/>
      <c r="W24" s="544"/>
      <c r="X24" s="544"/>
      <c r="Y24" s="544"/>
      <c r="Z24" s="544"/>
      <c r="AA24" s="544"/>
      <c r="AB24" s="544"/>
      <c r="AC24" s="544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customFormat="false" ht="13.5" hidden="false" customHeight="true" outlineLevel="0" collapsed="false">
      <c r="A25" s="43" t="s">
        <v>77</v>
      </c>
      <c r="B25" s="545" t="n">
        <f aca="false">SUM(B16:B24)</f>
        <v>0</v>
      </c>
      <c r="C25" s="545" t="n">
        <f aca="false">SUM(C16:C24)</f>
        <v>0</v>
      </c>
      <c r="D25" s="545" t="n">
        <f aca="false">SUM(D16:D24)</f>
        <v>0</v>
      </c>
      <c r="E25" s="545" t="n">
        <f aca="false">SUM(E16:E24)</f>
        <v>0</v>
      </c>
      <c r="F25" s="545" t="n">
        <f aca="false">SUM(F16:F24)</f>
        <v>0</v>
      </c>
      <c r="G25" s="545" t="n">
        <f aca="false">SUM(G16:G24)</f>
        <v>0</v>
      </c>
      <c r="H25" s="545" t="n">
        <f aca="false">SUM(H16:H24)</f>
        <v>0</v>
      </c>
      <c r="I25" s="545" t="n">
        <f aca="false">SUM(I16:I24)</f>
        <v>0</v>
      </c>
      <c r="J25" s="545" t="n">
        <f aca="false">SUM(J16:J24)</f>
        <v>0</v>
      </c>
      <c r="K25" s="545" t="n">
        <f aca="false">SUM(K16:K24)</f>
        <v>0</v>
      </c>
      <c r="L25" s="545" t="n">
        <f aca="false">SUM(L16:L24)</f>
        <v>0</v>
      </c>
      <c r="M25" s="546" t="n">
        <f aca="false">SUM(M16:M24)</f>
        <v>0</v>
      </c>
      <c r="N25" s="40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9" t="s">
        <v>397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547" t="s">
        <v>398</v>
      </c>
      <c r="AE26" s="547" t="s">
        <v>399</v>
      </c>
      <c r="AF26" s="548" t="s">
        <v>400</v>
      </c>
      <c r="AG26" s="549" t="s">
        <v>401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customFormat="false" ht="12.75" hidden="false" customHeight="true" outlineLevel="0" collapsed="false">
      <c r="A27" s="19" t="s">
        <v>402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  <c r="N27" s="511"/>
      <c r="O27" s="512" t="s">
        <v>384</v>
      </c>
      <c r="P27" s="2"/>
      <c r="Q27" s="26" t="s">
        <v>390</v>
      </c>
      <c r="R27" s="143" t="s">
        <v>403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547"/>
      <c r="AE27" s="547"/>
      <c r="AF27" s="548"/>
      <c r="AG27" s="550" t="n">
        <v>100000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customFormat="false" ht="13.5" hidden="false" customHeight="true" outlineLevel="0" collapsed="false">
      <c r="A28" s="513" t="s">
        <v>237</v>
      </c>
      <c r="B28" s="514" t="n">
        <v>39479</v>
      </c>
      <c r="C28" s="514" t="n">
        <f aca="false">B28+31</f>
        <v>39510</v>
      </c>
      <c r="D28" s="514" t="n">
        <f aca="false">C28+31</f>
        <v>39541</v>
      </c>
      <c r="E28" s="514" t="n">
        <f aca="false">D28+31</f>
        <v>39572</v>
      </c>
      <c r="F28" s="514" t="n">
        <f aca="false">E28+31</f>
        <v>39603</v>
      </c>
      <c r="G28" s="514" t="n">
        <f aca="false">F28+31</f>
        <v>39634</v>
      </c>
      <c r="H28" s="514" t="n">
        <f aca="false">G28+31</f>
        <v>39665</v>
      </c>
      <c r="I28" s="514" t="n">
        <f aca="false">H28+31</f>
        <v>39696</v>
      </c>
      <c r="J28" s="514" t="n">
        <f aca="false">I28+31</f>
        <v>39727</v>
      </c>
      <c r="K28" s="514" t="n">
        <f aca="false">J28+31</f>
        <v>39758</v>
      </c>
      <c r="L28" s="514" t="n">
        <f aca="false">K28+31</f>
        <v>39789</v>
      </c>
      <c r="M28" s="515" t="n">
        <f aca="false">L28+31</f>
        <v>39820</v>
      </c>
      <c r="N28" s="516" t="s">
        <v>386</v>
      </c>
      <c r="O28" s="517" t="s">
        <v>387</v>
      </c>
      <c r="P28" s="2"/>
      <c r="Q28" s="108" t="n">
        <v>1</v>
      </c>
      <c r="R28" s="551" t="str">
        <f aca="false">'Customer Growth'!R22*100&amp;"% * Total Customers * Revenue per customer"</f>
        <v>0% * Total Customers * Revenue per customer</v>
      </c>
      <c r="S28" s="551"/>
      <c r="T28" s="551"/>
      <c r="U28" s="551"/>
      <c r="V28" s="551"/>
      <c r="W28" s="551"/>
      <c r="X28" s="551"/>
      <c r="Y28" s="551"/>
      <c r="Z28" s="551"/>
      <c r="AA28" s="551"/>
      <c r="AB28" s="551"/>
      <c r="AC28" s="551"/>
      <c r="AD28" s="552" t="n">
        <f aca="false">COUNTA('Customer Growth'!$R$2:$R$21)</f>
        <v>0</v>
      </c>
      <c r="AE28" s="553" t="n">
        <f aca="false">AD28/COUNTA('Customer Growth'!$R$2:$AC$21)</f>
        <v>0</v>
      </c>
      <c r="AF28" s="193" t="n">
        <f aca="false">AE28</f>
        <v>0</v>
      </c>
      <c r="AG28" s="554" t="n">
        <f aca="false">AF28*$AG$27</f>
        <v>0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customFormat="false" ht="12.75" hidden="false" customHeight="true" outlineLevel="0" collapsed="false">
      <c r="A29" s="56" t="s">
        <v>8</v>
      </c>
      <c r="B29" s="5"/>
      <c r="C29" s="5"/>
      <c r="D29" s="5"/>
      <c r="E29" s="5"/>
      <c r="F29" s="5"/>
      <c r="G29" s="5" t="n">
        <f aca="false">$AE$33*Inputs!$D149</f>
        <v>0.1184210526</v>
      </c>
      <c r="H29" s="5" t="n">
        <f aca="false">$AE$34*Inputs!$D149</f>
        <v>0.1578947368</v>
      </c>
      <c r="I29" s="5" t="n">
        <f aca="false">$AE$35*Inputs!$D149</f>
        <v>0.2368421053</v>
      </c>
      <c r="J29" s="5" t="n">
        <f aca="false">$AE$36*Inputs!$D149</f>
        <v>0.3157894737</v>
      </c>
      <c r="K29" s="5" t="n">
        <f aca="false">$AE$37*Inputs!$D149</f>
        <v>0.4736842105</v>
      </c>
      <c r="L29" s="5" t="n">
        <f aca="false">$AE$38*Inputs!$D149</f>
        <v>0.6710526316</v>
      </c>
      <c r="M29" s="230" t="n">
        <f aca="false">$AE$39*Inputs!$D149</f>
        <v>0.7894736842</v>
      </c>
      <c r="N29" s="522" t="n">
        <f aca="false">SUM(B29:M29)</f>
        <v>2.7631578947</v>
      </c>
      <c r="O29" s="523" t="n">
        <f aca="false">COUNTA(B29:M29)</f>
        <v>7</v>
      </c>
      <c r="P29" s="2"/>
      <c r="Q29" s="108" t="n">
        <f aca="false">Q28+1</f>
        <v>2</v>
      </c>
      <c r="R29" s="551" t="str">
        <f aca="false">"("&amp;'Customer Growth'!S$22*100&amp;"% * Total Customers * Revenue per customer) + Month "&amp;Q28</f>
        <v>(5% * Total Customers * Revenue per customer) + Month 1</v>
      </c>
      <c r="S29" s="551"/>
      <c r="T29" s="551"/>
      <c r="U29" s="551"/>
      <c r="V29" s="551"/>
      <c r="W29" s="551"/>
      <c r="X29" s="551"/>
      <c r="Y29" s="551"/>
      <c r="Z29" s="551"/>
      <c r="AA29" s="551"/>
      <c r="AB29" s="551"/>
      <c r="AC29" s="551"/>
      <c r="AD29" s="552" t="n">
        <f aca="false">COUNTA('Customer Growth'!$S$2:$S$21)</f>
        <v>1</v>
      </c>
      <c r="AE29" s="553" t="n">
        <f aca="false">AD29/COUNTA('Customer Growth'!$R$2:$AC$21)</f>
        <v>0.01315789474</v>
      </c>
      <c r="AF29" s="193" t="n">
        <f aca="false">AE29+AF28</f>
        <v>0.01315789474</v>
      </c>
      <c r="AG29" s="554" t="n">
        <f aca="false">AF29*$AG$27</f>
        <v>1315.789474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customFormat="false" ht="12.75" hidden="false" customHeight="true" outlineLevel="0" collapsed="false">
      <c r="A30" s="56" t="s">
        <v>31</v>
      </c>
      <c r="B30" s="5"/>
      <c r="C30" s="5"/>
      <c r="D30" s="5"/>
      <c r="E30" s="5"/>
      <c r="F30" s="5"/>
      <c r="G30" s="5" t="n">
        <f aca="false">$AE$33*Inputs!$D150</f>
        <v>0.03947368421</v>
      </c>
      <c r="H30" s="5" t="n">
        <f aca="false">$AE$34*Inputs!$D150</f>
        <v>0.05263157895</v>
      </c>
      <c r="I30" s="5" t="n">
        <f aca="false">$AE$35*Inputs!$D150</f>
        <v>0.07894736842</v>
      </c>
      <c r="J30" s="5" t="n">
        <f aca="false">$AE$36*Inputs!$D150</f>
        <v>0.1052631579</v>
      </c>
      <c r="K30" s="5" t="n">
        <f aca="false">$AE$37*Inputs!$D150</f>
        <v>0.1578947368</v>
      </c>
      <c r="L30" s="5" t="n">
        <f aca="false">$AE$38*Inputs!$D150</f>
        <v>0.2236842105</v>
      </c>
      <c r="M30" s="230" t="n">
        <f aca="false">$AE$39*Inputs!$D150</f>
        <v>0.2631578947</v>
      </c>
      <c r="N30" s="522" t="n">
        <f aca="false">SUM(B30:M30)</f>
        <v>0.92105263148</v>
      </c>
      <c r="O30" s="527" t="n">
        <f aca="false">COUNTA(B30:M30)</f>
        <v>7</v>
      </c>
      <c r="P30" s="2"/>
      <c r="Q30" s="108" t="n">
        <f aca="false">Q29+1</f>
        <v>3</v>
      </c>
      <c r="R30" s="551" t="str">
        <f aca="false">"("&amp;'Customer Growth'!T$22*100&amp;"% * Total Customers * Revenue per customer) + Month "&amp;Q29</f>
        <v>(5% * Total Customers * Revenue per customer) + Month 2</v>
      </c>
      <c r="S30" s="551"/>
      <c r="T30" s="551"/>
      <c r="U30" s="551"/>
      <c r="V30" s="551"/>
      <c r="W30" s="551"/>
      <c r="X30" s="551"/>
      <c r="Y30" s="551"/>
      <c r="Z30" s="551"/>
      <c r="AA30" s="551"/>
      <c r="AB30" s="551"/>
      <c r="AC30" s="551"/>
      <c r="AD30" s="552" t="n">
        <f aca="false">COUNTA('Customer Growth'!$T$2:$T$21)</f>
        <v>1</v>
      </c>
      <c r="AE30" s="553" t="n">
        <f aca="false">AD30/COUNTA('Customer Growth'!$R$2:$AC$21)</f>
        <v>0.01315789474</v>
      </c>
      <c r="AF30" s="193" t="n">
        <f aca="false">AE30+AF29</f>
        <v>0.02631578948</v>
      </c>
      <c r="AG30" s="554" t="n">
        <f aca="false">AF30*$AG$27</f>
        <v>2631.578948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2.75" hidden="false" customHeight="true" outlineLevel="0" collapsed="false">
      <c r="A31" s="56" t="s">
        <v>34</v>
      </c>
      <c r="B31" s="5"/>
      <c r="C31" s="5"/>
      <c r="D31" s="5"/>
      <c r="E31" s="5"/>
      <c r="F31" s="5"/>
      <c r="G31" s="5" t="n">
        <f aca="false">$AE$33*Inputs!$D151</f>
        <v>0.009868421053</v>
      </c>
      <c r="H31" s="5" t="n">
        <f aca="false">$AE$34*Inputs!$D151</f>
        <v>0.01315789474</v>
      </c>
      <c r="I31" s="5" t="n">
        <f aca="false">$AE$35*Inputs!$D151</f>
        <v>0.01973684211</v>
      </c>
      <c r="J31" s="5" t="n">
        <f aca="false">$AE$36*Inputs!$D151</f>
        <v>0.02631578947</v>
      </c>
      <c r="K31" s="5" t="n">
        <f aca="false">$AE$37*Inputs!$D151</f>
        <v>0.03947368421</v>
      </c>
      <c r="L31" s="5" t="n">
        <f aca="false">$AE$38*Inputs!$D151</f>
        <v>0.05592105263</v>
      </c>
      <c r="M31" s="230" t="n">
        <f aca="false">$AE$39*Inputs!$D151</f>
        <v>0.06578947368</v>
      </c>
      <c r="N31" s="522" t="n">
        <f aca="false">SUM(B31:M31)</f>
        <v>0.230263157893</v>
      </c>
      <c r="O31" s="527" t="n">
        <f aca="false">COUNTA(B31:M31)</f>
        <v>7</v>
      </c>
      <c r="P31" s="2"/>
      <c r="Q31" s="108" t="n">
        <f aca="false">Q30+1</f>
        <v>4</v>
      </c>
      <c r="R31" s="551" t="str">
        <f aca="false">"("&amp;'Customer Growth'!U$22*100&amp;"% * Total Customers * Revenue per customer) + Month "&amp;Q30</f>
        <v>(10% * Total Customers * Revenue per customer) + Month 3</v>
      </c>
      <c r="S31" s="551"/>
      <c r="T31" s="551"/>
      <c r="U31" s="551"/>
      <c r="V31" s="551"/>
      <c r="W31" s="551"/>
      <c r="X31" s="551"/>
      <c r="Y31" s="551"/>
      <c r="Z31" s="551"/>
      <c r="AA31" s="551"/>
      <c r="AB31" s="551"/>
      <c r="AC31" s="551"/>
      <c r="AD31" s="552" t="n">
        <f aca="false">COUNTA('Customer Growth'!$U$2:$U$21)</f>
        <v>2</v>
      </c>
      <c r="AE31" s="553" t="n">
        <f aca="false">AD31/COUNTA('Customer Growth'!$R$2:$AC$21)</f>
        <v>0.02631578947</v>
      </c>
      <c r="AF31" s="193" t="n">
        <f aca="false">AE31+AF30</f>
        <v>0.05263157895</v>
      </c>
      <c r="AG31" s="554" t="n">
        <f aca="false">AF31*$AG$27</f>
        <v>5263.157895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3.5" hidden="false" customHeight="true" outlineLevel="0" collapsed="false">
      <c r="A32" s="56" t="s">
        <v>38</v>
      </c>
      <c r="B32" s="5"/>
      <c r="C32" s="5"/>
      <c r="D32" s="5"/>
      <c r="E32" s="5"/>
      <c r="F32" s="5"/>
      <c r="G32" s="5" t="n">
        <f aca="false">$AE$33*Inputs!$D152</f>
        <v>1.183815789</v>
      </c>
      <c r="H32" s="5" t="n">
        <f aca="false">$AE$34*Inputs!$D152</f>
        <v>1.578421053</v>
      </c>
      <c r="I32" s="5" t="n">
        <f aca="false">$AE$35*Inputs!$D152</f>
        <v>2.367631579</v>
      </c>
      <c r="J32" s="5" t="n">
        <f aca="false">$AE$36*Inputs!$D152</f>
        <v>3.156842105</v>
      </c>
      <c r="K32" s="5" t="n">
        <f aca="false">$AE$37*Inputs!$D152</f>
        <v>4.735263158</v>
      </c>
      <c r="L32" s="5" t="n">
        <f aca="false">$AE$38*Inputs!$D152</f>
        <v>6.708289474</v>
      </c>
      <c r="M32" s="230" t="n">
        <f aca="false">$AE$39*Inputs!$D152</f>
        <v>7.892105263</v>
      </c>
      <c r="N32" s="522" t="n">
        <f aca="false">SUM(B32:M32)</f>
        <v>27.622368421</v>
      </c>
      <c r="O32" s="527" t="n">
        <f aca="false">COUNTA(B32:M32)</f>
        <v>7</v>
      </c>
      <c r="P32" s="2"/>
      <c r="Q32" s="108" t="n">
        <f aca="false">Q31+1</f>
        <v>5</v>
      </c>
      <c r="R32" s="551" t="str">
        <f aca="false">"("&amp;'Customer Growth'!V$22*100&amp;"% * Total Customers * Revenue per customer) + Month "&amp;Q31</f>
        <v>(10% * Total Customers * Revenue per customer) + Month 4</v>
      </c>
      <c r="S32" s="551"/>
      <c r="T32" s="551"/>
      <c r="U32" s="551"/>
      <c r="V32" s="551"/>
      <c r="W32" s="551"/>
      <c r="X32" s="551"/>
      <c r="Y32" s="551"/>
      <c r="Z32" s="551"/>
      <c r="AA32" s="551"/>
      <c r="AB32" s="551"/>
      <c r="AC32" s="551"/>
      <c r="AD32" s="552" t="n">
        <f aca="false">COUNTA('Customer Growth'!$V$2:$V$21)</f>
        <v>2</v>
      </c>
      <c r="AE32" s="553" t="n">
        <f aca="false">AD32/COUNTA('Customer Growth'!$R$2:$AC$21)</f>
        <v>0.02631578947</v>
      </c>
      <c r="AF32" s="193" t="n">
        <f aca="false">AE32+AF31</f>
        <v>0.07894736842</v>
      </c>
      <c r="AG32" s="554" t="n">
        <f aca="false">AF32*$AG$27</f>
        <v>7894.736842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3.5" hidden="false" customHeight="true" outlineLevel="0" collapsed="false">
      <c r="A33" s="43" t="s">
        <v>77</v>
      </c>
      <c r="B33" s="156" t="n">
        <f aca="false">SUM(B29:B32)</f>
        <v>0</v>
      </c>
      <c r="C33" s="156" t="n">
        <f aca="false">SUM(C29:C32)</f>
        <v>0</v>
      </c>
      <c r="D33" s="156" t="n">
        <f aca="false">SUM(D29:D32)</f>
        <v>0</v>
      </c>
      <c r="E33" s="156" t="n">
        <f aca="false">SUM(E29:E32)</f>
        <v>0</v>
      </c>
      <c r="F33" s="156" t="n">
        <f aca="false">SUM(F29:F32)</f>
        <v>0</v>
      </c>
      <c r="G33" s="156" t="n">
        <f aca="false">SUM(G29:G32)</f>
        <v>1.351578946863</v>
      </c>
      <c r="H33" s="156" t="n">
        <f aca="false">SUM(H29:H32)</f>
        <v>1.80210526349</v>
      </c>
      <c r="I33" s="156" t="n">
        <f aca="false">SUM(I29:I32)</f>
        <v>2.70315789483</v>
      </c>
      <c r="J33" s="156" t="n">
        <f aca="false">SUM(J29:J32)</f>
        <v>3.60421052607</v>
      </c>
      <c r="K33" s="156" t="n">
        <f aca="false">SUM(K29:K32)</f>
        <v>5.40631578951</v>
      </c>
      <c r="L33" s="156" t="n">
        <f aca="false">SUM(L29:L32)</f>
        <v>7.65894736873</v>
      </c>
      <c r="M33" s="156" t="n">
        <f aca="false">SUM(M29:M32)</f>
        <v>9.01052631558</v>
      </c>
      <c r="N33" s="529" t="s">
        <v>395</v>
      </c>
      <c r="O33" s="530" t="n">
        <f aca="false">AVERAGE(O29:O32)</f>
        <v>7</v>
      </c>
      <c r="P33" s="2"/>
      <c r="Q33" s="108" t="n">
        <f aca="false">Q32+1</f>
        <v>6</v>
      </c>
      <c r="R33" s="551" t="str">
        <f aca="false">"("&amp;'Customer Growth'!W$22*100&amp;"% * Total Customers * Revenue per customer) + Month "&amp;Q32</f>
        <v>(15% * Total Customers * Revenue per customer) + Month 5</v>
      </c>
      <c r="S33" s="551"/>
      <c r="T33" s="551"/>
      <c r="U33" s="551"/>
      <c r="V33" s="551"/>
      <c r="W33" s="551"/>
      <c r="X33" s="551"/>
      <c r="Y33" s="551"/>
      <c r="Z33" s="551"/>
      <c r="AA33" s="551"/>
      <c r="AB33" s="551"/>
      <c r="AC33" s="551"/>
      <c r="AD33" s="552" t="n">
        <f aca="false">COUNTA('Customer Growth'!$W$2:$W$21)</f>
        <v>3</v>
      </c>
      <c r="AE33" s="553" t="n">
        <f aca="false">AD33/COUNTA('Customer Growth'!$R$2:$AC$21)</f>
        <v>0.03947368421</v>
      </c>
      <c r="AF33" s="193" t="n">
        <f aca="false">AE33+AF32</f>
        <v>0.11842105263</v>
      </c>
      <c r="AG33" s="554" t="n">
        <f aca="false">AF33*$AG$27</f>
        <v>11842.105263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8" t="n">
        <f aca="false">Q33+1</f>
        <v>7</v>
      </c>
      <c r="R34" s="551" t="str">
        <f aca="false">"("&amp;'Customer Growth'!X$22*100&amp;"% * Total Customers * Revenue per customer) + Month "&amp;Q33</f>
        <v>(20% * Total Customers * Revenue per customer) + Month 6</v>
      </c>
      <c r="S34" s="551"/>
      <c r="T34" s="551"/>
      <c r="U34" s="551"/>
      <c r="V34" s="551"/>
      <c r="W34" s="551"/>
      <c r="X34" s="551"/>
      <c r="Y34" s="551"/>
      <c r="Z34" s="551"/>
      <c r="AA34" s="551"/>
      <c r="AB34" s="551"/>
      <c r="AC34" s="551"/>
      <c r="AD34" s="552" t="n">
        <f aca="false">COUNTA('Customer Growth'!$X$2:$X$21)</f>
        <v>4</v>
      </c>
      <c r="AE34" s="553" t="n">
        <f aca="false">AD34/COUNTA('Customer Growth'!$R$2:$AC$21)</f>
        <v>0.05263157895</v>
      </c>
      <c r="AF34" s="193" t="n">
        <f aca="false">AE34+AF33</f>
        <v>0.17105263158</v>
      </c>
      <c r="AG34" s="554" t="n">
        <f aca="false">AF34*$AG$27</f>
        <v>17105.263158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2.75" hidden="false" customHeight="true" outlineLevel="0" collapsed="false">
      <c r="A35" s="19" t="s">
        <v>80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4"/>
      <c r="N35" s="427"/>
      <c r="O35" s="2"/>
      <c r="P35" s="2"/>
      <c r="Q35" s="108" t="n">
        <f aca="false">Q34+1</f>
        <v>8</v>
      </c>
      <c r="R35" s="551" t="str">
        <f aca="false">"("&amp;'Customer Growth'!Y$22*100&amp;"% * Total Customers * Revenue per customer) + Month "&amp;Q34</f>
        <v>(30% * Total Customers * Revenue per customer) + Month 7</v>
      </c>
      <c r="S35" s="551"/>
      <c r="T35" s="551"/>
      <c r="U35" s="551"/>
      <c r="V35" s="551"/>
      <c r="W35" s="551"/>
      <c r="X35" s="551"/>
      <c r="Y35" s="551"/>
      <c r="Z35" s="551"/>
      <c r="AA35" s="551"/>
      <c r="AB35" s="551"/>
      <c r="AC35" s="551"/>
      <c r="AD35" s="552" t="n">
        <f aca="false">COUNTA('Customer Growth'!$Y$2:$Y$21)</f>
        <v>6</v>
      </c>
      <c r="AE35" s="553" t="n">
        <f aca="false">AD35/COUNTA('Customer Growth'!$R$2:$AC$21)</f>
        <v>0.07894736842</v>
      </c>
      <c r="AF35" s="193" t="n">
        <f aca="false">AE35+AF34</f>
        <v>0.25</v>
      </c>
      <c r="AG35" s="554" t="n">
        <f aca="false">AF35*$AG$27</f>
        <v>25000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3.5" hidden="false" customHeight="true" outlineLevel="0" collapsed="false">
      <c r="A36" s="513" t="s">
        <v>237</v>
      </c>
      <c r="B36" s="514" t="n">
        <v>39479</v>
      </c>
      <c r="C36" s="514" t="n">
        <f aca="false">B36+31</f>
        <v>39510</v>
      </c>
      <c r="D36" s="514" t="n">
        <f aca="false">C36+31</f>
        <v>39541</v>
      </c>
      <c r="E36" s="514" t="n">
        <f aca="false">D36+31</f>
        <v>39572</v>
      </c>
      <c r="F36" s="514" t="n">
        <f aca="false">E36+31</f>
        <v>39603</v>
      </c>
      <c r="G36" s="514" t="n">
        <f aca="false">F36+31</f>
        <v>39634</v>
      </c>
      <c r="H36" s="514" t="n">
        <f aca="false">G36+31</f>
        <v>39665</v>
      </c>
      <c r="I36" s="514" t="n">
        <f aca="false">H36+31</f>
        <v>39696</v>
      </c>
      <c r="J36" s="514" t="n">
        <f aca="false">I36+31</f>
        <v>39727</v>
      </c>
      <c r="K36" s="514" t="n">
        <f aca="false">J36+31</f>
        <v>39758</v>
      </c>
      <c r="L36" s="514" t="n">
        <f aca="false">K36+31</f>
        <v>39789</v>
      </c>
      <c r="M36" s="515" t="n">
        <f aca="false">L36+31</f>
        <v>39820</v>
      </c>
      <c r="N36" s="534" t="s">
        <v>24</v>
      </c>
      <c r="O36" s="2"/>
      <c r="P36" s="2"/>
      <c r="Q36" s="108" t="n">
        <f aca="false">Q35+1</f>
        <v>9</v>
      </c>
      <c r="R36" s="551" t="str">
        <f aca="false">"("&amp;'Customer Growth'!Z$22*100&amp;"% * Total Customers * Revenue per customer) + Month "&amp;Q35</f>
        <v>(40% * Total Customers * Revenue per customer) + Month 8</v>
      </c>
      <c r="S36" s="551"/>
      <c r="T36" s="551"/>
      <c r="U36" s="551"/>
      <c r="V36" s="551"/>
      <c r="W36" s="551"/>
      <c r="X36" s="551"/>
      <c r="Y36" s="551"/>
      <c r="Z36" s="551"/>
      <c r="AA36" s="551"/>
      <c r="AB36" s="551"/>
      <c r="AC36" s="551"/>
      <c r="AD36" s="552" t="n">
        <f aca="false">COUNTA('Customer Growth'!$Z$2:$Z$21)</f>
        <v>8</v>
      </c>
      <c r="AE36" s="553" t="n">
        <f aca="false">AD36/COUNTA('Customer Growth'!$R$2:$AC$21)</f>
        <v>0.1052631579</v>
      </c>
      <c r="AF36" s="193" t="n">
        <f aca="false">AE36+AF35</f>
        <v>0.3552631579</v>
      </c>
      <c r="AG36" s="554" t="n">
        <f aca="false">AF36*$AG$27</f>
        <v>35526.31579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2.75" hidden="false" customHeight="true" outlineLevel="0" collapsed="false">
      <c r="A37" s="56" t="str">
        <f aca="false">A29</f>
        <v>Product 1</v>
      </c>
      <c r="B37" s="402"/>
      <c r="C37" s="402"/>
      <c r="D37" s="402"/>
      <c r="E37" s="402"/>
      <c r="F37" s="402"/>
      <c r="G37" s="402"/>
      <c r="H37" s="402"/>
      <c r="I37" s="402"/>
      <c r="J37" s="402"/>
      <c r="K37" s="402"/>
      <c r="L37" s="402"/>
      <c r="M37" s="403" t="n">
        <f aca="false">$AD78*Inputs!$D$30</f>
        <v>0</v>
      </c>
      <c r="N37" s="535" t="n">
        <f aca="false">SUM(B37:M37)</f>
        <v>0</v>
      </c>
      <c r="O37" s="2"/>
      <c r="P37" s="2"/>
      <c r="Q37" s="108" t="n">
        <f aca="false">Q36+1</f>
        <v>10</v>
      </c>
      <c r="R37" s="551" t="str">
        <f aca="false">"("&amp;'Customer Growth'!AA$22*100&amp;"% * Total Customers * Revenue per customer) + Month "&amp;Q36</f>
        <v>(60% * Total Customers * Revenue per customer) + Month 9</v>
      </c>
      <c r="S37" s="551"/>
      <c r="T37" s="551"/>
      <c r="U37" s="551"/>
      <c r="V37" s="551"/>
      <c r="W37" s="551"/>
      <c r="X37" s="551"/>
      <c r="Y37" s="551"/>
      <c r="Z37" s="551"/>
      <c r="AA37" s="551"/>
      <c r="AB37" s="551"/>
      <c r="AC37" s="551"/>
      <c r="AD37" s="552" t="n">
        <f aca="false">COUNTA('Customer Growth'!$AA$2:$AA$21)</f>
        <v>12</v>
      </c>
      <c r="AE37" s="553" t="n">
        <f aca="false">AD37/COUNTA('Customer Growth'!$R$2:$AC$21)</f>
        <v>0.1578947368</v>
      </c>
      <c r="AF37" s="193" t="n">
        <f aca="false">AE37+AF36</f>
        <v>0.5131578947</v>
      </c>
      <c r="AG37" s="554" t="n">
        <f aca="false">AF37*$AG$27</f>
        <v>51315.78947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2.75" hidden="false" customHeight="true" outlineLevel="0" collapsed="false">
      <c r="A38" s="56" t="str">
        <f aca="false">A30</f>
        <v>Product 2</v>
      </c>
      <c r="B38" s="402"/>
      <c r="C38" s="402"/>
      <c r="D38" s="402"/>
      <c r="E38" s="402"/>
      <c r="F38" s="402"/>
      <c r="G38" s="402"/>
      <c r="H38" s="402"/>
      <c r="I38" s="402"/>
      <c r="J38" s="402"/>
      <c r="K38" s="402"/>
      <c r="L38" s="402"/>
      <c r="M38" s="403"/>
      <c r="N38" s="536" t="n">
        <f aca="false">SUM(B38:M38)</f>
        <v>0</v>
      </c>
      <c r="O38" s="2"/>
      <c r="P38" s="2"/>
      <c r="Q38" s="108" t="n">
        <f aca="false">Q37+1</f>
        <v>11</v>
      </c>
      <c r="R38" s="551" t="str">
        <f aca="false">"("&amp;'Customer Growth'!AB$22*100&amp;"% * Total Customers * Revenue per customer) + Month "&amp;Q37</f>
        <v>(85% * Total Customers * Revenue per customer) + Month 10</v>
      </c>
      <c r="S38" s="551"/>
      <c r="T38" s="551"/>
      <c r="U38" s="551"/>
      <c r="V38" s="551"/>
      <c r="W38" s="551"/>
      <c r="X38" s="551"/>
      <c r="Y38" s="551"/>
      <c r="Z38" s="551"/>
      <c r="AA38" s="551"/>
      <c r="AB38" s="551"/>
      <c r="AC38" s="551"/>
      <c r="AD38" s="552" t="n">
        <f aca="false">COUNTA('Customer Growth'!$AB$2:$AB$21)</f>
        <v>17</v>
      </c>
      <c r="AE38" s="553" t="n">
        <f aca="false">AD38/COUNTA('Customer Growth'!$R$2:$AC$21)</f>
        <v>0.2236842105</v>
      </c>
      <c r="AF38" s="193" t="n">
        <f aca="false">AE38+AF37</f>
        <v>0.7368421052</v>
      </c>
      <c r="AG38" s="554" t="n">
        <f aca="false">AF38*$AG$27</f>
        <v>73684.21052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3.5" hidden="false" customHeight="true" outlineLevel="0" collapsed="false">
      <c r="A39" s="56" t="str">
        <f aca="false">A31</f>
        <v>Product 3</v>
      </c>
      <c r="B39" s="402"/>
      <c r="C39" s="402"/>
      <c r="D39" s="402"/>
      <c r="E39" s="402"/>
      <c r="F39" s="402"/>
      <c r="G39" s="402"/>
      <c r="H39" s="402"/>
      <c r="I39" s="402"/>
      <c r="J39" s="402"/>
      <c r="K39" s="402"/>
      <c r="L39" s="402"/>
      <c r="M39" s="403"/>
      <c r="N39" s="536" t="n">
        <f aca="false">SUM(B39:M39)</f>
        <v>0</v>
      </c>
      <c r="O39" s="2"/>
      <c r="P39" s="2"/>
      <c r="Q39" s="537" t="n">
        <f aca="false">Q38+1</f>
        <v>12</v>
      </c>
      <c r="R39" s="555" t="str">
        <f aca="false">"("&amp;'Customer Growth'!AC$22*100&amp;"% * Total Customers * Revenue per customer) + Month "&amp;Q38</f>
        <v>(100% * Total Customers * Revenue per customer) + Month 11</v>
      </c>
      <c r="S39" s="555"/>
      <c r="T39" s="555"/>
      <c r="U39" s="555"/>
      <c r="V39" s="555"/>
      <c r="W39" s="555"/>
      <c r="X39" s="555"/>
      <c r="Y39" s="555"/>
      <c r="Z39" s="555"/>
      <c r="AA39" s="555"/>
      <c r="AB39" s="555"/>
      <c r="AC39" s="555"/>
      <c r="AD39" s="556" t="n">
        <f aca="false">COUNTA('Customer Growth'!$AC$2:$AC$21)</f>
        <v>20</v>
      </c>
      <c r="AE39" s="557" t="n">
        <f aca="false">AD39/COUNTA('Customer Growth'!$R$2:$AC$21)</f>
        <v>0.2631578947</v>
      </c>
      <c r="AF39" s="201" t="n">
        <f aca="false">AE39+AF38</f>
        <v>0.9999999999</v>
      </c>
      <c r="AG39" s="558" t="n">
        <f aca="false">AF39*$AG$27</f>
        <v>99999.99999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2.75" hidden="false" customHeight="true" outlineLevel="0" collapsed="false">
      <c r="A40" s="56" t="str">
        <f aca="false">A32</f>
        <v>Product 4</v>
      </c>
      <c r="B40" s="402"/>
      <c r="C40" s="402"/>
      <c r="D40" s="402"/>
      <c r="E40" s="402"/>
      <c r="F40" s="402"/>
      <c r="G40" s="402"/>
      <c r="H40" s="402"/>
      <c r="I40" s="402"/>
      <c r="J40" s="402"/>
      <c r="K40" s="402"/>
      <c r="L40" s="402"/>
      <c r="M40" s="403"/>
      <c r="N40" s="536" t="n">
        <f aca="false">SUM(B40:M40)</f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3.5" hidden="false" customHeight="true" outlineLevel="0" collapsed="false">
      <c r="A41" s="43" t="s">
        <v>77</v>
      </c>
      <c r="B41" s="545" t="n">
        <f aca="false">SUM(B37:B40)</f>
        <v>0</v>
      </c>
      <c r="C41" s="545" t="n">
        <f aca="false">SUM(C37:C40)</f>
        <v>0</v>
      </c>
      <c r="D41" s="545" t="n">
        <f aca="false">SUM(D37:D40)</f>
        <v>0</v>
      </c>
      <c r="E41" s="545" t="n">
        <f aca="false">SUM(E37:E40)</f>
        <v>0</v>
      </c>
      <c r="F41" s="545" t="n">
        <f aca="false">SUM(F37:F40)</f>
        <v>0</v>
      </c>
      <c r="G41" s="545" t="n">
        <f aca="false">SUM(G37:G40)</f>
        <v>0</v>
      </c>
      <c r="H41" s="545" t="n">
        <f aca="false">SUM(H37:H40)</f>
        <v>0</v>
      </c>
      <c r="I41" s="545" t="n">
        <f aca="false">SUM(I37:I40)</f>
        <v>0</v>
      </c>
      <c r="J41" s="545" t="n">
        <f aca="false">SUM(J37:J40)</f>
        <v>0</v>
      </c>
      <c r="K41" s="545" t="n">
        <f aca="false">SUM(K37:K40)</f>
        <v>0</v>
      </c>
      <c r="L41" s="545" t="n">
        <f aca="false">SUM(L37:L40)</f>
        <v>0</v>
      </c>
      <c r="M41" s="546" t="n">
        <f aca="false">SUM(M37:M40)</f>
        <v>0</v>
      </c>
      <c r="N41" s="40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2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2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2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559" t="s">
        <v>385</v>
      </c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3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560" t="s">
        <v>388</v>
      </c>
      <c r="Q48" s="329" t="n">
        <v>100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32" t="s">
        <v>389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3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560"/>
      <c r="Q49" s="329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32" t="s">
        <v>389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3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560"/>
      <c r="Q50" s="329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32" t="s">
        <v>389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3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560"/>
      <c r="Q51" s="329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32" t="s">
        <v>389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3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560"/>
      <c r="Q52" s="329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32" t="s">
        <v>389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3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560"/>
      <c r="Q53" s="214" t="n">
        <f aca="false">Q48-5</f>
        <v>95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32" t="s">
        <v>389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3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560"/>
      <c r="Q54" s="21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32" t="s">
        <v>389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3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60"/>
      <c r="Q55" s="214"/>
      <c r="R55" s="4"/>
      <c r="S55" s="4"/>
      <c r="T55" s="4"/>
      <c r="U55" s="4"/>
      <c r="V55" s="4"/>
      <c r="W55" s="4"/>
      <c r="X55" s="4"/>
      <c r="Y55" s="4"/>
      <c r="Z55" s="4"/>
      <c r="AA55" s="4"/>
      <c r="AB55" s="524" t="s">
        <v>389</v>
      </c>
      <c r="AC55" s="532" t="s">
        <v>389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3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560"/>
      <c r="Q56" s="214"/>
      <c r="R56" s="4"/>
      <c r="S56" s="4"/>
      <c r="T56" s="4"/>
      <c r="U56" s="4"/>
      <c r="V56" s="4"/>
      <c r="W56" s="4"/>
      <c r="X56" s="4"/>
      <c r="Y56" s="4"/>
      <c r="Z56" s="4"/>
      <c r="AA56" s="4"/>
      <c r="AB56" s="524" t="s">
        <v>389</v>
      </c>
      <c r="AC56" s="532" t="s">
        <v>389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3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60"/>
      <c r="Q57" s="214"/>
      <c r="R57" s="4"/>
      <c r="S57" s="4"/>
      <c r="T57" s="4"/>
      <c r="U57" s="4"/>
      <c r="V57" s="4"/>
      <c r="W57" s="4"/>
      <c r="X57" s="4"/>
      <c r="Y57" s="4"/>
      <c r="Z57" s="4"/>
      <c r="AA57" s="4"/>
      <c r="AB57" s="524" t="s">
        <v>389</v>
      </c>
      <c r="AC57" s="532" t="s">
        <v>389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3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560"/>
      <c r="Q58" s="214" t="n">
        <f aca="false">Q53-5</f>
        <v>90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524" t="s">
        <v>389</v>
      </c>
      <c r="AC58" s="532" t="s">
        <v>389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3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560"/>
      <c r="Q59" s="214"/>
      <c r="R59" s="4"/>
      <c r="S59" s="4"/>
      <c r="T59" s="4"/>
      <c r="U59" s="4"/>
      <c r="V59" s="4"/>
      <c r="W59" s="4"/>
      <c r="X59" s="4"/>
      <c r="Y59" s="4"/>
      <c r="Z59" s="4"/>
      <c r="AA59" s="4"/>
      <c r="AB59" s="524" t="s">
        <v>389</v>
      </c>
      <c r="AC59" s="532" t="s">
        <v>389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3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560"/>
      <c r="Q60" s="214"/>
      <c r="R60" s="4"/>
      <c r="S60" s="4"/>
      <c r="T60" s="4"/>
      <c r="U60" s="4"/>
      <c r="V60" s="4"/>
      <c r="W60" s="4"/>
      <c r="X60" s="4"/>
      <c r="Y60" s="4"/>
      <c r="Z60" s="4"/>
      <c r="AA60" s="4"/>
      <c r="AB60" s="524" t="s">
        <v>389</v>
      </c>
      <c r="AC60" s="532" t="s">
        <v>389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3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560"/>
      <c r="Q61" s="214"/>
      <c r="R61" s="4"/>
      <c r="S61" s="4"/>
      <c r="T61" s="4"/>
      <c r="U61" s="4"/>
      <c r="V61" s="4"/>
      <c r="W61" s="4"/>
      <c r="X61" s="4"/>
      <c r="Y61" s="4"/>
      <c r="Z61" s="4"/>
      <c r="AA61" s="4"/>
      <c r="AB61" s="524" t="s">
        <v>389</v>
      </c>
      <c r="AC61" s="532" t="s">
        <v>389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3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560"/>
      <c r="Q62" s="214"/>
      <c r="R62" s="4"/>
      <c r="S62" s="4"/>
      <c r="T62" s="4"/>
      <c r="U62" s="4"/>
      <c r="V62" s="4"/>
      <c r="W62" s="4"/>
      <c r="X62" s="4"/>
      <c r="Y62" s="4"/>
      <c r="Z62" s="4"/>
      <c r="AA62" s="4"/>
      <c r="AB62" s="524" t="s">
        <v>389</v>
      </c>
      <c r="AC62" s="532" t="s">
        <v>389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3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560"/>
      <c r="Q63" s="214" t="n">
        <f aca="false">Q58-5</f>
        <v>85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524" t="s">
        <v>389</v>
      </c>
      <c r="AC63" s="532" t="s">
        <v>389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3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560"/>
      <c r="Q64" s="214"/>
      <c r="R64" s="4"/>
      <c r="S64" s="4"/>
      <c r="T64" s="4"/>
      <c r="U64" s="4"/>
      <c r="V64" s="4"/>
      <c r="W64" s="4"/>
      <c r="X64" s="4"/>
      <c r="Y64" s="4"/>
      <c r="Z64" s="4"/>
      <c r="AA64" s="4"/>
      <c r="AB64" s="524" t="s">
        <v>389</v>
      </c>
      <c r="AC64" s="532" t="s">
        <v>389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3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560"/>
      <c r="Q65" s="214"/>
      <c r="R65" s="4"/>
      <c r="S65" s="4"/>
      <c r="T65" s="4"/>
      <c r="U65" s="4"/>
      <c r="V65" s="4"/>
      <c r="W65" s="4"/>
      <c r="X65" s="4"/>
      <c r="Y65" s="4"/>
      <c r="Z65" s="4"/>
      <c r="AA65" s="4"/>
      <c r="AB65" s="524" t="s">
        <v>389</v>
      </c>
      <c r="AC65" s="532" t="s">
        <v>389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3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560"/>
      <c r="Q66" s="214"/>
      <c r="R66" s="4"/>
      <c r="S66" s="4"/>
      <c r="T66" s="4"/>
      <c r="U66" s="4"/>
      <c r="V66" s="4"/>
      <c r="W66" s="4"/>
      <c r="X66" s="4"/>
      <c r="Y66" s="4"/>
      <c r="Z66" s="4"/>
      <c r="AA66" s="524" t="s">
        <v>389</v>
      </c>
      <c r="AB66" s="524" t="s">
        <v>389</v>
      </c>
      <c r="AC66" s="532" t="s">
        <v>389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3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560"/>
      <c r="Q67" s="214"/>
      <c r="R67" s="4"/>
      <c r="S67" s="4"/>
      <c r="T67" s="4"/>
      <c r="U67" s="4"/>
      <c r="V67" s="4"/>
      <c r="W67" s="4"/>
      <c r="X67" s="4"/>
      <c r="Y67" s="4"/>
      <c r="Z67" s="4"/>
      <c r="AA67" s="524" t="s">
        <v>389</v>
      </c>
      <c r="AB67" s="524" t="s">
        <v>389</v>
      </c>
      <c r="AC67" s="532" t="s">
        <v>389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3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560"/>
      <c r="Q68" s="214" t="n">
        <f aca="false">Q63-5</f>
        <v>80</v>
      </c>
      <c r="R68" s="4"/>
      <c r="S68" s="4"/>
      <c r="T68" s="4"/>
      <c r="U68" s="4"/>
      <c r="V68" s="4"/>
      <c r="W68" s="4"/>
      <c r="X68" s="4"/>
      <c r="Y68" s="4"/>
      <c r="Z68" s="4"/>
      <c r="AA68" s="524" t="s">
        <v>389</v>
      </c>
      <c r="AB68" s="524" t="s">
        <v>389</v>
      </c>
      <c r="AC68" s="532" t="s">
        <v>389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3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560"/>
      <c r="Q69" s="214"/>
      <c r="R69" s="4"/>
      <c r="S69" s="4"/>
      <c r="T69" s="4"/>
      <c r="U69" s="4"/>
      <c r="V69" s="4"/>
      <c r="W69" s="4"/>
      <c r="X69" s="4"/>
      <c r="Y69" s="4"/>
      <c r="Z69" s="4"/>
      <c r="AA69" s="524" t="s">
        <v>389</v>
      </c>
      <c r="AB69" s="524" t="s">
        <v>389</v>
      </c>
      <c r="AC69" s="532" t="s">
        <v>389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3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560"/>
      <c r="Q70" s="214"/>
      <c r="R70" s="4"/>
      <c r="S70" s="4"/>
      <c r="T70" s="4"/>
      <c r="U70" s="4"/>
      <c r="V70" s="4"/>
      <c r="W70" s="4"/>
      <c r="X70" s="4"/>
      <c r="Y70" s="4"/>
      <c r="Z70" s="4"/>
      <c r="AA70" s="524" t="s">
        <v>389</v>
      </c>
      <c r="AB70" s="524" t="s">
        <v>389</v>
      </c>
      <c r="AC70" s="532" t="s">
        <v>389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3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560"/>
      <c r="Q71" s="214"/>
      <c r="R71" s="4"/>
      <c r="S71" s="4"/>
      <c r="T71" s="4"/>
      <c r="U71" s="4"/>
      <c r="V71" s="4"/>
      <c r="W71" s="4"/>
      <c r="X71" s="4"/>
      <c r="Y71" s="4"/>
      <c r="Z71" s="4"/>
      <c r="AA71" s="524" t="s">
        <v>389</v>
      </c>
      <c r="AB71" s="524" t="s">
        <v>389</v>
      </c>
      <c r="AC71" s="532" t="s">
        <v>389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3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560"/>
      <c r="Q72" s="214"/>
      <c r="R72" s="4"/>
      <c r="S72" s="4"/>
      <c r="T72" s="4"/>
      <c r="U72" s="4"/>
      <c r="V72" s="4"/>
      <c r="W72" s="4"/>
      <c r="X72" s="4"/>
      <c r="Y72" s="4"/>
      <c r="Z72" s="4"/>
      <c r="AA72" s="524" t="s">
        <v>389</v>
      </c>
      <c r="AB72" s="524" t="s">
        <v>389</v>
      </c>
      <c r="AC72" s="532" t="s">
        <v>389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3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560"/>
      <c r="Q73" s="214" t="n">
        <f aca="false">Q68-5</f>
        <v>75</v>
      </c>
      <c r="R73" s="4"/>
      <c r="S73" s="4"/>
      <c r="T73" s="4"/>
      <c r="U73" s="4"/>
      <c r="V73" s="4"/>
      <c r="W73" s="4"/>
      <c r="X73" s="4"/>
      <c r="Y73" s="4"/>
      <c r="Z73" s="4"/>
      <c r="AA73" s="524" t="s">
        <v>389</v>
      </c>
      <c r="AB73" s="524" t="s">
        <v>389</v>
      </c>
      <c r="AC73" s="532" t="s">
        <v>389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3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560"/>
      <c r="Q74" s="214"/>
      <c r="R74" s="4"/>
      <c r="S74" s="4"/>
      <c r="T74" s="4"/>
      <c r="U74" s="4"/>
      <c r="V74" s="4"/>
      <c r="W74" s="4"/>
      <c r="X74" s="4"/>
      <c r="Y74" s="4"/>
      <c r="Z74" s="4"/>
      <c r="AA74" s="524" t="s">
        <v>389</v>
      </c>
      <c r="AB74" s="524" t="s">
        <v>389</v>
      </c>
      <c r="AC74" s="532" t="s">
        <v>389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3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560"/>
      <c r="Q75" s="214"/>
      <c r="R75" s="4"/>
      <c r="S75" s="4"/>
      <c r="T75" s="4"/>
      <c r="U75" s="4"/>
      <c r="V75" s="4"/>
      <c r="W75" s="4"/>
      <c r="X75" s="4"/>
      <c r="Y75" s="4"/>
      <c r="Z75" s="4"/>
      <c r="AA75" s="524" t="s">
        <v>389</v>
      </c>
      <c r="AB75" s="524" t="s">
        <v>389</v>
      </c>
      <c r="AC75" s="532" t="s">
        <v>389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3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560"/>
      <c r="Q76" s="214"/>
      <c r="R76" s="4"/>
      <c r="S76" s="4"/>
      <c r="T76" s="4"/>
      <c r="U76" s="4"/>
      <c r="V76" s="4"/>
      <c r="W76" s="4"/>
      <c r="X76" s="4"/>
      <c r="Y76" s="4"/>
      <c r="Z76" s="4"/>
      <c r="AA76" s="524" t="s">
        <v>389</v>
      </c>
      <c r="AB76" s="524" t="s">
        <v>389</v>
      </c>
      <c r="AC76" s="532" t="s">
        <v>389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3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560"/>
      <c r="Q77" s="214"/>
      <c r="R77" s="4"/>
      <c r="S77" s="4"/>
      <c r="T77" s="4"/>
      <c r="U77" s="4"/>
      <c r="V77" s="4"/>
      <c r="W77" s="4"/>
      <c r="X77" s="4"/>
      <c r="Y77" s="4"/>
      <c r="Z77" s="4"/>
      <c r="AA77" s="524" t="s">
        <v>389</v>
      </c>
      <c r="AB77" s="524" t="s">
        <v>389</v>
      </c>
      <c r="AC77" s="532" t="s">
        <v>389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3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560"/>
      <c r="Q78" s="214" t="n">
        <f aca="false">Q73-5</f>
        <v>70</v>
      </c>
      <c r="R78" s="4"/>
      <c r="S78" s="4"/>
      <c r="T78" s="4"/>
      <c r="U78" s="4"/>
      <c r="V78" s="4"/>
      <c r="W78" s="4"/>
      <c r="X78" s="4"/>
      <c r="Y78" s="4"/>
      <c r="Z78" s="4"/>
      <c r="AA78" s="524" t="s">
        <v>389</v>
      </c>
      <c r="AB78" s="524" t="s">
        <v>389</v>
      </c>
      <c r="AC78" s="532" t="s">
        <v>389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3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560"/>
      <c r="Q79" s="214"/>
      <c r="R79" s="4"/>
      <c r="S79" s="4"/>
      <c r="T79" s="4"/>
      <c r="U79" s="4"/>
      <c r="V79" s="4"/>
      <c r="W79" s="4"/>
      <c r="X79" s="4"/>
      <c r="Y79" s="4"/>
      <c r="Z79" s="4"/>
      <c r="AA79" s="524" t="s">
        <v>389</v>
      </c>
      <c r="AB79" s="524" t="s">
        <v>389</v>
      </c>
      <c r="AC79" s="532" t="s">
        <v>389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3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560"/>
      <c r="Q80" s="214"/>
      <c r="R80" s="4"/>
      <c r="S80" s="4"/>
      <c r="T80" s="4"/>
      <c r="U80" s="4"/>
      <c r="V80" s="4"/>
      <c r="W80" s="4"/>
      <c r="X80" s="4"/>
      <c r="Y80" s="4"/>
      <c r="Z80" s="4"/>
      <c r="AA80" s="524" t="s">
        <v>389</v>
      </c>
      <c r="AB80" s="524" t="s">
        <v>389</v>
      </c>
      <c r="AC80" s="532" t="s">
        <v>389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3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560"/>
      <c r="Q81" s="214"/>
      <c r="R81" s="4"/>
      <c r="S81" s="4"/>
      <c r="T81" s="4"/>
      <c r="U81" s="4"/>
      <c r="V81" s="4"/>
      <c r="W81" s="4"/>
      <c r="X81" s="4"/>
      <c r="Y81" s="4"/>
      <c r="Z81" s="4"/>
      <c r="AA81" s="524" t="s">
        <v>389</v>
      </c>
      <c r="AB81" s="524" t="s">
        <v>389</v>
      </c>
      <c r="AC81" s="532" t="s">
        <v>389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3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560"/>
      <c r="Q82" s="214"/>
      <c r="R82" s="4"/>
      <c r="S82" s="4"/>
      <c r="T82" s="4"/>
      <c r="U82" s="4"/>
      <c r="V82" s="4"/>
      <c r="W82" s="4"/>
      <c r="X82" s="4"/>
      <c r="Y82" s="4"/>
      <c r="Z82" s="4"/>
      <c r="AA82" s="524" t="s">
        <v>389</v>
      </c>
      <c r="AB82" s="524" t="s">
        <v>389</v>
      </c>
      <c r="AC82" s="532" t="s">
        <v>389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3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560"/>
      <c r="Q83" s="214" t="n">
        <f aca="false">Q78-5</f>
        <v>65</v>
      </c>
      <c r="R83" s="4"/>
      <c r="S83" s="4"/>
      <c r="T83" s="4"/>
      <c r="U83" s="4"/>
      <c r="V83" s="4"/>
      <c r="W83" s="4"/>
      <c r="X83" s="4"/>
      <c r="Y83" s="4"/>
      <c r="Z83" s="4"/>
      <c r="AA83" s="524" t="s">
        <v>389</v>
      </c>
      <c r="AB83" s="524" t="s">
        <v>389</v>
      </c>
      <c r="AC83" s="532" t="s">
        <v>389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3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560"/>
      <c r="Q84" s="214"/>
      <c r="R84" s="4"/>
      <c r="S84" s="4"/>
      <c r="T84" s="4"/>
      <c r="U84" s="4"/>
      <c r="V84" s="4"/>
      <c r="W84" s="4"/>
      <c r="X84" s="4"/>
      <c r="Y84" s="4"/>
      <c r="Z84" s="4"/>
      <c r="AA84" s="524" t="s">
        <v>389</v>
      </c>
      <c r="AB84" s="524" t="s">
        <v>389</v>
      </c>
      <c r="AC84" s="532" t="s">
        <v>389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3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560"/>
      <c r="Q85" s="214"/>
      <c r="R85" s="4"/>
      <c r="S85" s="4"/>
      <c r="T85" s="4"/>
      <c r="U85" s="4"/>
      <c r="V85" s="4"/>
      <c r="W85" s="4"/>
      <c r="X85" s="4"/>
      <c r="Y85" s="4"/>
      <c r="Z85" s="4"/>
      <c r="AA85" s="524" t="s">
        <v>389</v>
      </c>
      <c r="AB85" s="524" t="s">
        <v>389</v>
      </c>
      <c r="AC85" s="532" t="s">
        <v>389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3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560"/>
      <c r="Q86" s="214"/>
      <c r="R86" s="4"/>
      <c r="S86" s="4"/>
      <c r="T86" s="4"/>
      <c r="U86" s="4"/>
      <c r="V86" s="4"/>
      <c r="W86" s="4"/>
      <c r="X86" s="4"/>
      <c r="Y86" s="4"/>
      <c r="Z86" s="4"/>
      <c r="AA86" s="524" t="s">
        <v>389</v>
      </c>
      <c r="AB86" s="524" t="s">
        <v>389</v>
      </c>
      <c r="AC86" s="532" t="s">
        <v>389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3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560"/>
      <c r="Q87" s="214"/>
      <c r="R87" s="4"/>
      <c r="S87" s="4"/>
      <c r="T87" s="4"/>
      <c r="U87" s="4"/>
      <c r="V87" s="4"/>
      <c r="W87" s="4"/>
      <c r="X87" s="4"/>
      <c r="Y87" s="4"/>
      <c r="Z87" s="524" t="s">
        <v>389</v>
      </c>
      <c r="AA87" s="524" t="s">
        <v>389</v>
      </c>
      <c r="AB87" s="524" t="s">
        <v>389</v>
      </c>
      <c r="AC87" s="532" t="s">
        <v>389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3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560"/>
      <c r="Q88" s="214" t="n">
        <f aca="false">Q83-5</f>
        <v>60</v>
      </c>
      <c r="R88" s="4"/>
      <c r="S88" s="4"/>
      <c r="T88" s="4"/>
      <c r="U88" s="4"/>
      <c r="V88" s="4"/>
      <c r="W88" s="4"/>
      <c r="X88" s="4"/>
      <c r="Y88" s="4"/>
      <c r="Z88" s="524" t="s">
        <v>389</v>
      </c>
      <c r="AA88" s="524" t="s">
        <v>389</v>
      </c>
      <c r="AB88" s="524" t="s">
        <v>389</v>
      </c>
      <c r="AC88" s="532" t="s">
        <v>389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3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560"/>
      <c r="Q89" s="214"/>
      <c r="R89" s="4"/>
      <c r="S89" s="4"/>
      <c r="T89" s="4"/>
      <c r="U89" s="4"/>
      <c r="V89" s="4"/>
      <c r="W89" s="4"/>
      <c r="X89" s="4"/>
      <c r="Y89" s="4"/>
      <c r="Z89" s="524" t="s">
        <v>389</v>
      </c>
      <c r="AA89" s="524" t="s">
        <v>389</v>
      </c>
      <c r="AB89" s="524" t="s">
        <v>389</v>
      </c>
      <c r="AC89" s="532" t="s">
        <v>389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3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560"/>
      <c r="Q90" s="214"/>
      <c r="R90" s="4"/>
      <c r="S90" s="4"/>
      <c r="T90" s="4"/>
      <c r="U90" s="4"/>
      <c r="V90" s="4"/>
      <c r="W90" s="4"/>
      <c r="X90" s="4"/>
      <c r="Y90" s="4"/>
      <c r="Z90" s="524" t="s">
        <v>389</v>
      </c>
      <c r="AA90" s="524" t="s">
        <v>389</v>
      </c>
      <c r="AB90" s="524" t="s">
        <v>389</v>
      </c>
      <c r="AC90" s="532" t="s">
        <v>389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3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560"/>
      <c r="Q91" s="214"/>
      <c r="R91" s="4"/>
      <c r="S91" s="4"/>
      <c r="T91" s="4"/>
      <c r="U91" s="4"/>
      <c r="V91" s="4"/>
      <c r="W91" s="4"/>
      <c r="X91" s="4"/>
      <c r="Y91" s="4"/>
      <c r="Z91" s="524" t="s">
        <v>389</v>
      </c>
      <c r="AA91" s="524" t="s">
        <v>389</v>
      </c>
      <c r="AB91" s="524" t="s">
        <v>389</v>
      </c>
      <c r="AC91" s="532" t="s">
        <v>389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3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560"/>
      <c r="Q92" s="214"/>
      <c r="R92" s="4"/>
      <c r="S92" s="4"/>
      <c r="T92" s="4"/>
      <c r="U92" s="4"/>
      <c r="V92" s="4"/>
      <c r="W92" s="4"/>
      <c r="X92" s="4"/>
      <c r="Y92" s="4"/>
      <c r="Z92" s="524" t="s">
        <v>389</v>
      </c>
      <c r="AA92" s="524" t="s">
        <v>389</v>
      </c>
      <c r="AB92" s="524" t="s">
        <v>389</v>
      </c>
      <c r="AC92" s="532" t="s">
        <v>389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3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560"/>
      <c r="Q93" s="214" t="n">
        <f aca="false">Q88-5</f>
        <v>55</v>
      </c>
      <c r="R93" s="4"/>
      <c r="S93" s="4"/>
      <c r="T93" s="4"/>
      <c r="U93" s="4"/>
      <c r="V93" s="4"/>
      <c r="W93" s="4"/>
      <c r="X93" s="4"/>
      <c r="Y93" s="4"/>
      <c r="Z93" s="524" t="s">
        <v>389</v>
      </c>
      <c r="AA93" s="524" t="s">
        <v>389</v>
      </c>
      <c r="AB93" s="524" t="s">
        <v>389</v>
      </c>
      <c r="AC93" s="532" t="s">
        <v>389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3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560"/>
      <c r="Q94" s="214"/>
      <c r="R94" s="4"/>
      <c r="S94" s="4"/>
      <c r="T94" s="4"/>
      <c r="U94" s="4"/>
      <c r="V94" s="4"/>
      <c r="W94" s="4"/>
      <c r="X94" s="4"/>
      <c r="Y94" s="4"/>
      <c r="Z94" s="524" t="s">
        <v>389</v>
      </c>
      <c r="AA94" s="524" t="s">
        <v>389</v>
      </c>
      <c r="AB94" s="524" t="s">
        <v>389</v>
      </c>
      <c r="AC94" s="532" t="s">
        <v>389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3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60"/>
      <c r="Q95" s="214"/>
      <c r="R95" s="4"/>
      <c r="S95" s="4"/>
      <c r="T95" s="4"/>
      <c r="U95" s="4"/>
      <c r="V95" s="4"/>
      <c r="W95" s="4"/>
      <c r="X95" s="4"/>
      <c r="Y95" s="4"/>
      <c r="Z95" s="524" t="s">
        <v>389</v>
      </c>
      <c r="AA95" s="524" t="s">
        <v>389</v>
      </c>
      <c r="AB95" s="524" t="s">
        <v>389</v>
      </c>
      <c r="AC95" s="532" t="s">
        <v>389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3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60"/>
      <c r="Q96" s="214"/>
      <c r="R96" s="4"/>
      <c r="S96" s="4"/>
      <c r="T96" s="4"/>
      <c r="U96" s="4"/>
      <c r="V96" s="4"/>
      <c r="W96" s="4"/>
      <c r="X96" s="4"/>
      <c r="Y96" s="4"/>
      <c r="Z96" s="524" t="s">
        <v>389</v>
      </c>
      <c r="AA96" s="524" t="s">
        <v>389</v>
      </c>
      <c r="AB96" s="524" t="s">
        <v>389</v>
      </c>
      <c r="AC96" s="532" t="s">
        <v>389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3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560"/>
      <c r="Q97" s="214"/>
      <c r="R97" s="4"/>
      <c r="S97" s="4"/>
      <c r="T97" s="4"/>
      <c r="U97" s="4"/>
      <c r="V97" s="4"/>
      <c r="W97" s="4"/>
      <c r="X97" s="4"/>
      <c r="Y97" s="4"/>
      <c r="Z97" s="524" t="s">
        <v>389</v>
      </c>
      <c r="AA97" s="524" t="s">
        <v>389</v>
      </c>
      <c r="AB97" s="524" t="s">
        <v>389</v>
      </c>
      <c r="AC97" s="532" t="s">
        <v>389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3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60"/>
      <c r="Q98" s="214" t="n">
        <f aca="false">Q93-5</f>
        <v>50</v>
      </c>
      <c r="R98" s="4"/>
      <c r="S98" s="4"/>
      <c r="T98" s="4"/>
      <c r="U98" s="4"/>
      <c r="V98" s="4"/>
      <c r="W98" s="4"/>
      <c r="X98" s="4"/>
      <c r="Y98" s="4"/>
      <c r="Z98" s="524" t="s">
        <v>389</v>
      </c>
      <c r="AA98" s="524" t="s">
        <v>389</v>
      </c>
      <c r="AB98" s="524" t="s">
        <v>389</v>
      </c>
      <c r="AC98" s="532" t="s">
        <v>389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3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560"/>
      <c r="Q99" s="214"/>
      <c r="R99" s="4"/>
      <c r="S99" s="4"/>
      <c r="T99" s="4"/>
      <c r="U99" s="4"/>
      <c r="V99" s="4"/>
      <c r="W99" s="4"/>
      <c r="X99" s="4"/>
      <c r="Y99" s="4"/>
      <c r="Z99" s="524" t="s">
        <v>389</v>
      </c>
      <c r="AA99" s="524" t="s">
        <v>389</v>
      </c>
      <c r="AB99" s="524" t="s">
        <v>389</v>
      </c>
      <c r="AC99" s="532" t="s">
        <v>389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3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560"/>
      <c r="Q100" s="214"/>
      <c r="R100" s="4"/>
      <c r="S100" s="4"/>
      <c r="T100" s="4"/>
      <c r="U100" s="4"/>
      <c r="V100" s="4"/>
      <c r="W100" s="4"/>
      <c r="X100" s="4"/>
      <c r="Y100" s="4"/>
      <c r="Z100" s="524" t="s">
        <v>389</v>
      </c>
      <c r="AA100" s="524" t="s">
        <v>389</v>
      </c>
      <c r="AB100" s="524" t="s">
        <v>389</v>
      </c>
      <c r="AC100" s="532" t="s">
        <v>389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3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60"/>
      <c r="Q101" s="214"/>
      <c r="R101" s="4"/>
      <c r="S101" s="4"/>
      <c r="T101" s="4"/>
      <c r="U101" s="4"/>
      <c r="V101" s="4"/>
      <c r="W101" s="4"/>
      <c r="X101" s="4"/>
      <c r="Y101" s="524" t="s">
        <v>389</v>
      </c>
      <c r="Z101" s="524" t="s">
        <v>389</v>
      </c>
      <c r="AA101" s="524" t="s">
        <v>389</v>
      </c>
      <c r="AB101" s="524" t="s">
        <v>389</v>
      </c>
      <c r="AC101" s="532" t="s">
        <v>389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3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560"/>
      <c r="Q102" s="214"/>
      <c r="R102" s="4"/>
      <c r="S102" s="4"/>
      <c r="T102" s="4"/>
      <c r="U102" s="4"/>
      <c r="V102" s="4"/>
      <c r="W102" s="4"/>
      <c r="X102" s="4"/>
      <c r="Y102" s="524" t="s">
        <v>389</v>
      </c>
      <c r="Z102" s="524" t="s">
        <v>389</v>
      </c>
      <c r="AA102" s="524" t="s">
        <v>389</v>
      </c>
      <c r="AB102" s="524" t="s">
        <v>389</v>
      </c>
      <c r="AC102" s="532" t="s">
        <v>389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3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560"/>
      <c r="Q103" s="214" t="n">
        <f aca="false">Q98-5</f>
        <v>45</v>
      </c>
      <c r="R103" s="4"/>
      <c r="S103" s="4"/>
      <c r="T103" s="4"/>
      <c r="U103" s="4"/>
      <c r="V103" s="4"/>
      <c r="W103" s="4"/>
      <c r="X103" s="4"/>
      <c r="Y103" s="524" t="s">
        <v>389</v>
      </c>
      <c r="Z103" s="524" t="s">
        <v>389</v>
      </c>
      <c r="AA103" s="524" t="s">
        <v>389</v>
      </c>
      <c r="AB103" s="524" t="s">
        <v>389</v>
      </c>
      <c r="AC103" s="532" t="s">
        <v>389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3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560"/>
      <c r="Q104" s="214"/>
      <c r="R104" s="4"/>
      <c r="S104" s="4"/>
      <c r="T104" s="4"/>
      <c r="U104" s="4"/>
      <c r="V104" s="4"/>
      <c r="W104" s="4"/>
      <c r="X104" s="4"/>
      <c r="Y104" s="524" t="s">
        <v>389</v>
      </c>
      <c r="Z104" s="524" t="s">
        <v>389</v>
      </c>
      <c r="AA104" s="524" t="s">
        <v>389</v>
      </c>
      <c r="AB104" s="524" t="s">
        <v>389</v>
      </c>
      <c r="AC104" s="532" t="s">
        <v>389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3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560"/>
      <c r="Q105" s="214"/>
      <c r="R105" s="4"/>
      <c r="S105" s="4"/>
      <c r="T105" s="4"/>
      <c r="U105" s="4"/>
      <c r="V105" s="4"/>
      <c r="W105" s="4"/>
      <c r="X105" s="4"/>
      <c r="Y105" s="524" t="s">
        <v>389</v>
      </c>
      <c r="Z105" s="524" t="s">
        <v>389</v>
      </c>
      <c r="AA105" s="524" t="s">
        <v>389</v>
      </c>
      <c r="AB105" s="524" t="s">
        <v>389</v>
      </c>
      <c r="AC105" s="532" t="s">
        <v>389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3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560"/>
      <c r="Q106" s="214"/>
      <c r="R106" s="4"/>
      <c r="S106" s="4"/>
      <c r="T106" s="4"/>
      <c r="U106" s="4"/>
      <c r="V106" s="4"/>
      <c r="W106" s="4"/>
      <c r="X106" s="4"/>
      <c r="Y106" s="524" t="s">
        <v>389</v>
      </c>
      <c r="Z106" s="524" t="s">
        <v>389</v>
      </c>
      <c r="AA106" s="524" t="s">
        <v>389</v>
      </c>
      <c r="AB106" s="524" t="s">
        <v>389</v>
      </c>
      <c r="AC106" s="532" t="s">
        <v>389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3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560"/>
      <c r="Q107" s="214"/>
      <c r="R107" s="4"/>
      <c r="S107" s="4"/>
      <c r="T107" s="4"/>
      <c r="U107" s="4"/>
      <c r="V107" s="4"/>
      <c r="W107" s="4"/>
      <c r="X107" s="4"/>
      <c r="Y107" s="524" t="s">
        <v>389</v>
      </c>
      <c r="Z107" s="524" t="s">
        <v>389</v>
      </c>
      <c r="AA107" s="524" t="s">
        <v>389</v>
      </c>
      <c r="AB107" s="524" t="s">
        <v>389</v>
      </c>
      <c r="AC107" s="532" t="s">
        <v>389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3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560"/>
      <c r="Q108" s="214" t="n">
        <f aca="false">Q103-5</f>
        <v>40</v>
      </c>
      <c r="R108" s="4"/>
      <c r="S108" s="4"/>
      <c r="T108" s="4"/>
      <c r="U108" s="4"/>
      <c r="V108" s="4"/>
      <c r="W108" s="4"/>
      <c r="X108" s="4"/>
      <c r="Y108" s="524" t="s">
        <v>389</v>
      </c>
      <c r="Z108" s="524" t="s">
        <v>389</v>
      </c>
      <c r="AA108" s="524" t="s">
        <v>389</v>
      </c>
      <c r="AB108" s="524" t="s">
        <v>389</v>
      </c>
      <c r="AC108" s="532" t="s">
        <v>389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3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560"/>
      <c r="Q109" s="214"/>
      <c r="R109" s="4"/>
      <c r="S109" s="4"/>
      <c r="T109" s="4"/>
      <c r="U109" s="4"/>
      <c r="V109" s="4"/>
      <c r="W109" s="4"/>
      <c r="X109" s="4"/>
      <c r="Y109" s="524" t="s">
        <v>389</v>
      </c>
      <c r="Z109" s="524" t="s">
        <v>389</v>
      </c>
      <c r="AA109" s="524" t="s">
        <v>389</v>
      </c>
      <c r="AB109" s="524" t="s">
        <v>389</v>
      </c>
      <c r="AC109" s="532" t="s">
        <v>389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3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560"/>
      <c r="Q110" s="214"/>
      <c r="R110" s="4"/>
      <c r="S110" s="4"/>
      <c r="T110" s="4"/>
      <c r="U110" s="4"/>
      <c r="V110" s="4"/>
      <c r="W110" s="4"/>
      <c r="X110" s="4"/>
      <c r="Y110" s="524" t="s">
        <v>389</v>
      </c>
      <c r="Z110" s="524" t="s">
        <v>389</v>
      </c>
      <c r="AA110" s="524" t="s">
        <v>389</v>
      </c>
      <c r="AB110" s="524" t="s">
        <v>389</v>
      </c>
      <c r="AC110" s="532" t="s">
        <v>389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3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560"/>
      <c r="Q111" s="214"/>
      <c r="R111" s="4"/>
      <c r="S111" s="4"/>
      <c r="T111" s="4"/>
      <c r="U111" s="4"/>
      <c r="V111" s="4"/>
      <c r="W111" s="4"/>
      <c r="X111" s="4"/>
      <c r="Y111" s="524" t="s">
        <v>389</v>
      </c>
      <c r="Z111" s="524" t="s">
        <v>389</v>
      </c>
      <c r="AA111" s="524" t="s">
        <v>389</v>
      </c>
      <c r="AB111" s="524" t="s">
        <v>389</v>
      </c>
      <c r="AC111" s="532" t="s">
        <v>389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3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560"/>
      <c r="Q112" s="214"/>
      <c r="R112" s="4"/>
      <c r="S112" s="4"/>
      <c r="T112" s="4"/>
      <c r="U112" s="4"/>
      <c r="V112" s="4"/>
      <c r="W112" s="4"/>
      <c r="X112" s="4"/>
      <c r="Y112" s="524" t="s">
        <v>389</v>
      </c>
      <c r="Z112" s="524" t="s">
        <v>389</v>
      </c>
      <c r="AA112" s="524" t="s">
        <v>389</v>
      </c>
      <c r="AB112" s="524" t="s">
        <v>389</v>
      </c>
      <c r="AC112" s="532" t="s">
        <v>389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3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560"/>
      <c r="Q113" s="214" t="n">
        <f aca="false">Q108-5</f>
        <v>35</v>
      </c>
      <c r="R113" s="4"/>
      <c r="S113" s="4"/>
      <c r="T113" s="4"/>
      <c r="U113" s="4"/>
      <c r="V113" s="4"/>
      <c r="W113" s="4"/>
      <c r="X113" s="4"/>
      <c r="Y113" s="524" t="s">
        <v>389</v>
      </c>
      <c r="Z113" s="524" t="s">
        <v>389</v>
      </c>
      <c r="AA113" s="524" t="s">
        <v>389</v>
      </c>
      <c r="AB113" s="524" t="s">
        <v>389</v>
      </c>
      <c r="AC113" s="532" t="s">
        <v>389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3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560"/>
      <c r="Q114" s="214"/>
      <c r="R114" s="4"/>
      <c r="S114" s="4"/>
      <c r="T114" s="4"/>
      <c r="U114" s="4"/>
      <c r="V114" s="4"/>
      <c r="W114" s="4"/>
      <c r="X114" s="4"/>
      <c r="Y114" s="524" t="s">
        <v>389</v>
      </c>
      <c r="Z114" s="524" t="s">
        <v>389</v>
      </c>
      <c r="AA114" s="524" t="s">
        <v>389</v>
      </c>
      <c r="AB114" s="524" t="s">
        <v>389</v>
      </c>
      <c r="AC114" s="532" t="s">
        <v>389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3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560"/>
      <c r="Q115" s="214"/>
      <c r="R115" s="4"/>
      <c r="S115" s="4"/>
      <c r="T115" s="4"/>
      <c r="U115" s="4"/>
      <c r="V115" s="4"/>
      <c r="W115" s="4"/>
      <c r="X115" s="4"/>
      <c r="Y115" s="524" t="s">
        <v>389</v>
      </c>
      <c r="Z115" s="524" t="s">
        <v>389</v>
      </c>
      <c r="AA115" s="524" t="s">
        <v>389</v>
      </c>
      <c r="AB115" s="524" t="s">
        <v>389</v>
      </c>
      <c r="AC115" s="532" t="s">
        <v>389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3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560"/>
      <c r="Q116" s="214"/>
      <c r="R116" s="4"/>
      <c r="S116" s="4"/>
      <c r="T116" s="4"/>
      <c r="U116" s="4"/>
      <c r="V116" s="4"/>
      <c r="W116" s="4"/>
      <c r="X116" s="4"/>
      <c r="Y116" s="524" t="s">
        <v>389</v>
      </c>
      <c r="Z116" s="524" t="s">
        <v>389</v>
      </c>
      <c r="AA116" s="524" t="s">
        <v>389</v>
      </c>
      <c r="AB116" s="524" t="s">
        <v>389</v>
      </c>
      <c r="AC116" s="532" t="s">
        <v>389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3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560"/>
      <c r="Q117" s="214"/>
      <c r="R117" s="4"/>
      <c r="S117" s="4"/>
      <c r="T117" s="4"/>
      <c r="U117" s="4"/>
      <c r="V117" s="4"/>
      <c r="W117" s="4"/>
      <c r="X117" s="4"/>
      <c r="Y117" s="524" t="s">
        <v>389</v>
      </c>
      <c r="Z117" s="524" t="s">
        <v>389</v>
      </c>
      <c r="AA117" s="524" t="s">
        <v>389</v>
      </c>
      <c r="AB117" s="524" t="s">
        <v>389</v>
      </c>
      <c r="AC117" s="532" t="s">
        <v>389</v>
      </c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3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560"/>
      <c r="Q118" s="214" t="n">
        <f aca="false">Q113-5</f>
        <v>30</v>
      </c>
      <c r="R118" s="4"/>
      <c r="S118" s="4"/>
      <c r="T118" s="4"/>
      <c r="U118" s="4"/>
      <c r="V118" s="4"/>
      <c r="W118" s="4"/>
      <c r="X118" s="4"/>
      <c r="Y118" s="524" t="s">
        <v>389</v>
      </c>
      <c r="Z118" s="524" t="s">
        <v>389</v>
      </c>
      <c r="AA118" s="524" t="s">
        <v>389</v>
      </c>
      <c r="AB118" s="524" t="s">
        <v>389</v>
      </c>
      <c r="AC118" s="532" t="s">
        <v>389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3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560"/>
      <c r="Q119" s="214"/>
      <c r="R119" s="4"/>
      <c r="S119" s="4"/>
      <c r="T119" s="4"/>
      <c r="U119" s="4"/>
      <c r="V119" s="4"/>
      <c r="W119" s="4"/>
      <c r="X119" s="4"/>
      <c r="Y119" s="524" t="s">
        <v>389</v>
      </c>
      <c r="Z119" s="524" t="s">
        <v>389</v>
      </c>
      <c r="AA119" s="524" t="s">
        <v>389</v>
      </c>
      <c r="AB119" s="524" t="s">
        <v>389</v>
      </c>
      <c r="AC119" s="532" t="s">
        <v>389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3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560"/>
      <c r="Q120" s="214"/>
      <c r="R120" s="4"/>
      <c r="S120" s="4"/>
      <c r="T120" s="4"/>
      <c r="U120" s="4"/>
      <c r="V120" s="4"/>
      <c r="W120" s="4"/>
      <c r="X120" s="524" t="s">
        <v>389</v>
      </c>
      <c r="Y120" s="524" t="s">
        <v>389</v>
      </c>
      <c r="Z120" s="524" t="s">
        <v>389</v>
      </c>
      <c r="AA120" s="524" t="s">
        <v>389</v>
      </c>
      <c r="AB120" s="524" t="s">
        <v>389</v>
      </c>
      <c r="AC120" s="532" t="s">
        <v>389</v>
      </c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3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560"/>
      <c r="Q121" s="214"/>
      <c r="R121" s="4"/>
      <c r="S121" s="4"/>
      <c r="T121" s="4"/>
      <c r="U121" s="4"/>
      <c r="V121" s="4"/>
      <c r="W121" s="4"/>
      <c r="X121" s="524" t="s">
        <v>389</v>
      </c>
      <c r="Y121" s="524" t="s">
        <v>389</v>
      </c>
      <c r="Z121" s="524" t="s">
        <v>389</v>
      </c>
      <c r="AA121" s="524" t="s">
        <v>389</v>
      </c>
      <c r="AB121" s="524" t="s">
        <v>389</v>
      </c>
      <c r="AC121" s="532" t="s">
        <v>389</v>
      </c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3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560"/>
      <c r="Q122" s="214"/>
      <c r="R122" s="4"/>
      <c r="S122" s="4"/>
      <c r="T122" s="4"/>
      <c r="U122" s="4"/>
      <c r="V122" s="4"/>
      <c r="W122" s="4"/>
      <c r="X122" s="524" t="s">
        <v>389</v>
      </c>
      <c r="Y122" s="524" t="s">
        <v>389</v>
      </c>
      <c r="Z122" s="524" t="s">
        <v>389</v>
      </c>
      <c r="AA122" s="524" t="s">
        <v>389</v>
      </c>
      <c r="AB122" s="524" t="s">
        <v>389</v>
      </c>
      <c r="AC122" s="532" t="s">
        <v>389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3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560"/>
      <c r="Q123" s="214" t="n">
        <f aca="false">Q118-5</f>
        <v>25</v>
      </c>
      <c r="R123" s="4"/>
      <c r="S123" s="4"/>
      <c r="T123" s="4"/>
      <c r="U123" s="4"/>
      <c r="V123" s="4"/>
      <c r="W123" s="4"/>
      <c r="X123" s="524" t="s">
        <v>389</v>
      </c>
      <c r="Y123" s="524" t="s">
        <v>389</v>
      </c>
      <c r="Z123" s="524" t="s">
        <v>389</v>
      </c>
      <c r="AA123" s="524" t="s">
        <v>389</v>
      </c>
      <c r="AB123" s="524" t="s">
        <v>389</v>
      </c>
      <c r="AC123" s="532" t="s">
        <v>389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3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560"/>
      <c r="Q124" s="214"/>
      <c r="R124" s="4"/>
      <c r="S124" s="4"/>
      <c r="T124" s="4"/>
      <c r="U124" s="4"/>
      <c r="V124" s="4"/>
      <c r="W124" s="4"/>
      <c r="X124" s="524" t="s">
        <v>389</v>
      </c>
      <c r="Y124" s="524" t="s">
        <v>389</v>
      </c>
      <c r="Z124" s="524" t="s">
        <v>389</v>
      </c>
      <c r="AA124" s="524" t="s">
        <v>389</v>
      </c>
      <c r="AB124" s="524" t="s">
        <v>389</v>
      </c>
      <c r="AC124" s="532" t="s">
        <v>389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3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560"/>
      <c r="Q125" s="214"/>
      <c r="R125" s="4"/>
      <c r="S125" s="4"/>
      <c r="T125" s="4"/>
      <c r="U125" s="4"/>
      <c r="V125" s="4"/>
      <c r="W125" s="4"/>
      <c r="X125" s="524" t="s">
        <v>389</v>
      </c>
      <c r="Y125" s="524" t="s">
        <v>389</v>
      </c>
      <c r="Z125" s="524" t="s">
        <v>389</v>
      </c>
      <c r="AA125" s="524" t="s">
        <v>389</v>
      </c>
      <c r="AB125" s="524" t="s">
        <v>389</v>
      </c>
      <c r="AC125" s="532" t="s">
        <v>389</v>
      </c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3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560"/>
      <c r="Q126" s="214"/>
      <c r="R126" s="4"/>
      <c r="S126" s="4"/>
      <c r="T126" s="4"/>
      <c r="U126" s="4"/>
      <c r="V126" s="4"/>
      <c r="W126" s="4"/>
      <c r="X126" s="524" t="s">
        <v>389</v>
      </c>
      <c r="Y126" s="524" t="s">
        <v>389</v>
      </c>
      <c r="Z126" s="524" t="s">
        <v>389</v>
      </c>
      <c r="AA126" s="524" t="s">
        <v>389</v>
      </c>
      <c r="AB126" s="524" t="s">
        <v>389</v>
      </c>
      <c r="AC126" s="532" t="s">
        <v>389</v>
      </c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3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560"/>
      <c r="Q127" s="214"/>
      <c r="R127" s="4"/>
      <c r="S127" s="4"/>
      <c r="T127" s="4"/>
      <c r="U127" s="4"/>
      <c r="V127" s="4"/>
      <c r="W127" s="4"/>
      <c r="X127" s="524" t="s">
        <v>389</v>
      </c>
      <c r="Y127" s="524" t="s">
        <v>389</v>
      </c>
      <c r="Z127" s="524" t="s">
        <v>389</v>
      </c>
      <c r="AA127" s="524" t="s">
        <v>389</v>
      </c>
      <c r="AB127" s="524" t="s">
        <v>389</v>
      </c>
      <c r="AC127" s="532" t="s">
        <v>389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3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560"/>
      <c r="Q128" s="214" t="n">
        <f aca="false">Q123-5</f>
        <v>20</v>
      </c>
      <c r="R128" s="4"/>
      <c r="S128" s="4"/>
      <c r="T128" s="4"/>
      <c r="U128" s="4"/>
      <c r="V128" s="4"/>
      <c r="W128" s="4"/>
      <c r="X128" s="524" t="s">
        <v>389</v>
      </c>
      <c r="Y128" s="524" t="s">
        <v>389</v>
      </c>
      <c r="Z128" s="524" t="s">
        <v>389</v>
      </c>
      <c r="AA128" s="524" t="s">
        <v>389</v>
      </c>
      <c r="AB128" s="524" t="s">
        <v>389</v>
      </c>
      <c r="AC128" s="532" t="s">
        <v>389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3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560"/>
      <c r="Q129" s="214"/>
      <c r="R129" s="4"/>
      <c r="S129" s="4"/>
      <c r="T129" s="4"/>
      <c r="U129" s="4"/>
      <c r="V129" s="4"/>
      <c r="W129" s="4"/>
      <c r="X129" s="524" t="s">
        <v>389</v>
      </c>
      <c r="Y129" s="524" t="s">
        <v>389</v>
      </c>
      <c r="Z129" s="524" t="s">
        <v>389</v>
      </c>
      <c r="AA129" s="524" t="s">
        <v>389</v>
      </c>
      <c r="AB129" s="524" t="s">
        <v>389</v>
      </c>
      <c r="AC129" s="532" t="s">
        <v>389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3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560"/>
      <c r="Q130" s="214"/>
      <c r="R130" s="4"/>
      <c r="S130" s="4"/>
      <c r="T130" s="4"/>
      <c r="U130" s="4"/>
      <c r="V130" s="4"/>
      <c r="W130" s="4"/>
      <c r="X130" s="524" t="s">
        <v>389</v>
      </c>
      <c r="Y130" s="524" t="s">
        <v>389</v>
      </c>
      <c r="Z130" s="524" t="s">
        <v>389</v>
      </c>
      <c r="AA130" s="524" t="s">
        <v>389</v>
      </c>
      <c r="AB130" s="524" t="s">
        <v>389</v>
      </c>
      <c r="AC130" s="532" t="s">
        <v>389</v>
      </c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3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560"/>
      <c r="Q131" s="214"/>
      <c r="R131" s="4"/>
      <c r="S131" s="4"/>
      <c r="T131" s="4"/>
      <c r="U131" s="4"/>
      <c r="V131" s="4"/>
      <c r="W131" s="4"/>
      <c r="X131" s="524" t="s">
        <v>389</v>
      </c>
      <c r="Y131" s="524" t="s">
        <v>389</v>
      </c>
      <c r="Z131" s="524" t="s">
        <v>389</v>
      </c>
      <c r="AA131" s="524" t="s">
        <v>389</v>
      </c>
      <c r="AB131" s="524" t="s">
        <v>389</v>
      </c>
      <c r="AC131" s="532" t="s">
        <v>389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3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560"/>
      <c r="Q132" s="214"/>
      <c r="R132" s="4"/>
      <c r="S132" s="4"/>
      <c r="T132" s="4"/>
      <c r="U132" s="4"/>
      <c r="V132" s="4"/>
      <c r="W132" s="524" t="s">
        <v>389</v>
      </c>
      <c r="X132" s="524" t="s">
        <v>389</v>
      </c>
      <c r="Y132" s="524" t="s">
        <v>389</v>
      </c>
      <c r="Z132" s="524" t="s">
        <v>389</v>
      </c>
      <c r="AA132" s="524" t="s">
        <v>389</v>
      </c>
      <c r="AB132" s="524" t="s">
        <v>389</v>
      </c>
      <c r="AC132" s="532" t="s">
        <v>389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3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560"/>
      <c r="Q133" s="214" t="n">
        <f aca="false">Q128-5</f>
        <v>15</v>
      </c>
      <c r="R133" s="4"/>
      <c r="S133" s="4"/>
      <c r="T133" s="4"/>
      <c r="U133" s="4"/>
      <c r="V133" s="4"/>
      <c r="W133" s="524" t="s">
        <v>389</v>
      </c>
      <c r="X133" s="524" t="s">
        <v>389</v>
      </c>
      <c r="Y133" s="524" t="s">
        <v>389</v>
      </c>
      <c r="Z133" s="524" t="s">
        <v>389</v>
      </c>
      <c r="AA133" s="524" t="s">
        <v>389</v>
      </c>
      <c r="AB133" s="524" t="s">
        <v>389</v>
      </c>
      <c r="AC133" s="532" t="s">
        <v>389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3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560"/>
      <c r="Q134" s="214"/>
      <c r="R134" s="4"/>
      <c r="S134" s="4"/>
      <c r="T134" s="4"/>
      <c r="U134" s="4"/>
      <c r="V134" s="4"/>
      <c r="W134" s="524" t="s">
        <v>389</v>
      </c>
      <c r="X134" s="524" t="s">
        <v>389</v>
      </c>
      <c r="Y134" s="524" t="s">
        <v>389</v>
      </c>
      <c r="Z134" s="524" t="s">
        <v>389</v>
      </c>
      <c r="AA134" s="524" t="s">
        <v>389</v>
      </c>
      <c r="AB134" s="524" t="s">
        <v>389</v>
      </c>
      <c r="AC134" s="532" t="s">
        <v>389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3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560"/>
      <c r="Q135" s="214"/>
      <c r="R135" s="4"/>
      <c r="S135" s="4"/>
      <c r="T135" s="4"/>
      <c r="U135" s="4"/>
      <c r="V135" s="4"/>
      <c r="W135" s="524" t="s">
        <v>389</v>
      </c>
      <c r="X135" s="524" t="s">
        <v>389</v>
      </c>
      <c r="Y135" s="524" t="s">
        <v>389</v>
      </c>
      <c r="Z135" s="524" t="s">
        <v>389</v>
      </c>
      <c r="AA135" s="524" t="s">
        <v>389</v>
      </c>
      <c r="AB135" s="524" t="s">
        <v>389</v>
      </c>
      <c r="AC135" s="532" t="s">
        <v>389</v>
      </c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3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560"/>
      <c r="Q136" s="214"/>
      <c r="R136" s="4"/>
      <c r="S136" s="4"/>
      <c r="T136" s="4"/>
      <c r="U136" s="4"/>
      <c r="V136" s="4"/>
      <c r="W136" s="524" t="s">
        <v>389</v>
      </c>
      <c r="X136" s="524" t="s">
        <v>389</v>
      </c>
      <c r="Y136" s="524" t="s">
        <v>389</v>
      </c>
      <c r="Z136" s="524" t="s">
        <v>389</v>
      </c>
      <c r="AA136" s="524" t="s">
        <v>389</v>
      </c>
      <c r="AB136" s="524" t="s">
        <v>389</v>
      </c>
      <c r="AC136" s="532" t="s">
        <v>389</v>
      </c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3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560"/>
      <c r="Q137" s="214"/>
      <c r="R137" s="4"/>
      <c r="S137" s="4"/>
      <c r="T137" s="4"/>
      <c r="U137" s="4"/>
      <c r="V137" s="4"/>
      <c r="W137" s="524" t="s">
        <v>389</v>
      </c>
      <c r="X137" s="524" t="s">
        <v>389</v>
      </c>
      <c r="Y137" s="524" t="s">
        <v>389</v>
      </c>
      <c r="Z137" s="524" t="s">
        <v>389</v>
      </c>
      <c r="AA137" s="524" t="s">
        <v>389</v>
      </c>
      <c r="AB137" s="524" t="s">
        <v>389</v>
      </c>
      <c r="AC137" s="532" t="s">
        <v>389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3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560"/>
      <c r="Q138" s="214" t="n">
        <f aca="false">Q133-5</f>
        <v>10</v>
      </c>
      <c r="R138" s="4"/>
      <c r="S138" s="4"/>
      <c r="T138" s="4"/>
      <c r="U138" s="4"/>
      <c r="V138" s="4"/>
      <c r="W138" s="524" t="s">
        <v>389</v>
      </c>
      <c r="X138" s="524" t="s">
        <v>389</v>
      </c>
      <c r="Y138" s="524" t="s">
        <v>389</v>
      </c>
      <c r="Z138" s="524" t="s">
        <v>389</v>
      </c>
      <c r="AA138" s="524" t="s">
        <v>389</v>
      </c>
      <c r="AB138" s="524" t="s">
        <v>389</v>
      </c>
      <c r="AC138" s="532" t="s">
        <v>389</v>
      </c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3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560"/>
      <c r="Q139" s="214"/>
      <c r="R139" s="4"/>
      <c r="S139" s="4"/>
      <c r="T139" s="4"/>
      <c r="U139" s="4"/>
      <c r="V139" s="4"/>
      <c r="W139" s="524" t="s">
        <v>389</v>
      </c>
      <c r="X139" s="524" t="s">
        <v>389</v>
      </c>
      <c r="Y139" s="524" t="s">
        <v>389</v>
      </c>
      <c r="Z139" s="524" t="s">
        <v>389</v>
      </c>
      <c r="AA139" s="524" t="s">
        <v>389</v>
      </c>
      <c r="AB139" s="524" t="s">
        <v>389</v>
      </c>
      <c r="AC139" s="532" t="s">
        <v>389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3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560"/>
      <c r="Q140" s="214"/>
      <c r="R140" s="4"/>
      <c r="S140" s="4"/>
      <c r="T140" s="4"/>
      <c r="U140" s="4"/>
      <c r="V140" s="524" t="s">
        <v>389</v>
      </c>
      <c r="W140" s="524" t="s">
        <v>389</v>
      </c>
      <c r="X140" s="524" t="s">
        <v>389</v>
      </c>
      <c r="Y140" s="524" t="s">
        <v>389</v>
      </c>
      <c r="Z140" s="524" t="s">
        <v>389</v>
      </c>
      <c r="AA140" s="524" t="s">
        <v>389</v>
      </c>
      <c r="AB140" s="524" t="s">
        <v>389</v>
      </c>
      <c r="AC140" s="532" t="s">
        <v>389</v>
      </c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3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560"/>
      <c r="Q141" s="214"/>
      <c r="R141" s="4"/>
      <c r="S141" s="4"/>
      <c r="T141" s="4"/>
      <c r="U141" s="4"/>
      <c r="V141" s="524" t="s">
        <v>389</v>
      </c>
      <c r="W141" s="524" t="s">
        <v>389</v>
      </c>
      <c r="X141" s="524" t="s">
        <v>389</v>
      </c>
      <c r="Y141" s="524" t="s">
        <v>389</v>
      </c>
      <c r="Z141" s="524" t="s">
        <v>389</v>
      </c>
      <c r="AA141" s="524" t="s">
        <v>389</v>
      </c>
      <c r="AB141" s="524" t="s">
        <v>389</v>
      </c>
      <c r="AC141" s="532" t="s">
        <v>389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3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560"/>
      <c r="Q142" s="214"/>
      <c r="R142" s="4"/>
      <c r="S142" s="4"/>
      <c r="T142" s="4"/>
      <c r="U142" s="4"/>
      <c r="V142" s="524" t="s">
        <v>389</v>
      </c>
      <c r="W142" s="524" t="s">
        <v>389</v>
      </c>
      <c r="X142" s="524" t="s">
        <v>389</v>
      </c>
      <c r="Y142" s="524" t="s">
        <v>389</v>
      </c>
      <c r="Z142" s="524" t="s">
        <v>389</v>
      </c>
      <c r="AA142" s="524" t="s">
        <v>389</v>
      </c>
      <c r="AB142" s="524" t="s">
        <v>389</v>
      </c>
      <c r="AC142" s="532" t="s">
        <v>389</v>
      </c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3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560"/>
      <c r="Q143" s="214" t="n">
        <f aca="false">Q138-5</f>
        <v>5</v>
      </c>
      <c r="R143" s="4"/>
      <c r="S143" s="4"/>
      <c r="T143" s="4"/>
      <c r="U143" s="524" t="s">
        <v>389</v>
      </c>
      <c r="V143" s="524" t="s">
        <v>389</v>
      </c>
      <c r="W143" s="524" t="s">
        <v>389</v>
      </c>
      <c r="X143" s="524" t="s">
        <v>389</v>
      </c>
      <c r="Y143" s="524" t="s">
        <v>389</v>
      </c>
      <c r="Z143" s="524" t="s">
        <v>389</v>
      </c>
      <c r="AA143" s="524" t="s">
        <v>389</v>
      </c>
      <c r="AB143" s="524" t="s">
        <v>389</v>
      </c>
      <c r="AC143" s="532" t="s">
        <v>389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3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560"/>
      <c r="Q144" s="214"/>
      <c r="R144" s="4"/>
      <c r="S144" s="4"/>
      <c r="T144" s="4"/>
      <c r="U144" s="524" t="s">
        <v>389</v>
      </c>
      <c r="V144" s="524" t="s">
        <v>389</v>
      </c>
      <c r="W144" s="524" t="s">
        <v>389</v>
      </c>
      <c r="X144" s="524" t="s">
        <v>389</v>
      </c>
      <c r="Y144" s="524" t="s">
        <v>389</v>
      </c>
      <c r="Z144" s="524" t="s">
        <v>389</v>
      </c>
      <c r="AA144" s="524" t="s">
        <v>389</v>
      </c>
      <c r="AB144" s="524" t="s">
        <v>389</v>
      </c>
      <c r="AC144" s="532" t="s">
        <v>389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3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560"/>
      <c r="Q145" s="214"/>
      <c r="R145" s="4"/>
      <c r="S145" s="4"/>
      <c r="T145" s="524" t="s">
        <v>389</v>
      </c>
      <c r="U145" s="524" t="s">
        <v>389</v>
      </c>
      <c r="V145" s="524" t="s">
        <v>389</v>
      </c>
      <c r="W145" s="524" t="s">
        <v>389</v>
      </c>
      <c r="X145" s="524" t="s">
        <v>389</v>
      </c>
      <c r="Y145" s="524" t="s">
        <v>389</v>
      </c>
      <c r="Z145" s="524" t="s">
        <v>389</v>
      </c>
      <c r="AA145" s="524" t="s">
        <v>389</v>
      </c>
      <c r="AB145" s="524" t="s">
        <v>389</v>
      </c>
      <c r="AC145" s="532" t="s">
        <v>389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3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560"/>
      <c r="Q146" s="214"/>
      <c r="R146" s="4"/>
      <c r="S146" s="524" t="s">
        <v>389</v>
      </c>
      <c r="T146" s="524" t="s">
        <v>389</v>
      </c>
      <c r="U146" s="524" t="s">
        <v>389</v>
      </c>
      <c r="V146" s="524" t="s">
        <v>389</v>
      </c>
      <c r="W146" s="524" t="s">
        <v>389</v>
      </c>
      <c r="X146" s="524" t="s">
        <v>389</v>
      </c>
      <c r="Y146" s="524" t="s">
        <v>389</v>
      </c>
      <c r="Z146" s="524" t="s">
        <v>389</v>
      </c>
      <c r="AA146" s="524" t="s">
        <v>389</v>
      </c>
      <c r="AB146" s="524" t="s">
        <v>389</v>
      </c>
      <c r="AC146" s="532" t="s">
        <v>389</v>
      </c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3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560"/>
      <c r="Q147" s="214"/>
      <c r="R147" s="524" t="s">
        <v>389</v>
      </c>
      <c r="S147" s="524" t="s">
        <v>389</v>
      </c>
      <c r="T147" s="524" t="s">
        <v>389</v>
      </c>
      <c r="U147" s="524" t="s">
        <v>389</v>
      </c>
      <c r="V147" s="524" t="s">
        <v>389</v>
      </c>
      <c r="W147" s="524" t="s">
        <v>389</v>
      </c>
      <c r="X147" s="524" t="s">
        <v>389</v>
      </c>
      <c r="Y147" s="524" t="s">
        <v>389</v>
      </c>
      <c r="Z147" s="524" t="s">
        <v>389</v>
      </c>
      <c r="AA147" s="524" t="s">
        <v>389</v>
      </c>
      <c r="AB147" s="524" t="s">
        <v>389</v>
      </c>
      <c r="AC147" s="532" t="s">
        <v>389</v>
      </c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560"/>
      <c r="Q148" s="561" t="n">
        <v>0</v>
      </c>
      <c r="R148" s="562" t="n">
        <f aca="false">COUNTA(R48:R147)/100</f>
        <v>0.01</v>
      </c>
      <c r="S148" s="562" t="n">
        <f aca="false">COUNTA(S48:S147)/100</f>
        <v>0.02</v>
      </c>
      <c r="T148" s="562" t="n">
        <f aca="false">COUNTA(T48:T147)/100</f>
        <v>0.03</v>
      </c>
      <c r="U148" s="562" t="n">
        <f aca="false">COUNTA(U48:U147)/100</f>
        <v>0.05</v>
      </c>
      <c r="V148" s="562" t="n">
        <f aca="false">COUNTA(V48:V147)/100</f>
        <v>0.08</v>
      </c>
      <c r="W148" s="562" t="n">
        <f aca="false">COUNTA(W48:W147)/100</f>
        <v>0.16</v>
      </c>
      <c r="X148" s="562" t="n">
        <f aca="false">COUNTA(X48:X147)/100</f>
        <v>0.28</v>
      </c>
      <c r="Y148" s="562" t="n">
        <f aca="false">COUNTA(Y48:Y147)/100</f>
        <v>0.47</v>
      </c>
      <c r="Z148" s="562" t="n">
        <f aca="false">COUNTA(Z48:Z147)/100</f>
        <v>0.61</v>
      </c>
      <c r="AA148" s="562" t="n">
        <f aca="false">COUNTA(AA48:AA147)/100</f>
        <v>0.82</v>
      </c>
      <c r="AB148" s="562" t="n">
        <f aca="false">COUNTA(AB48:AB147)/100</f>
        <v>0.93</v>
      </c>
      <c r="AC148" s="563" t="n">
        <f aca="false">COUNTA(AC48:AC147)/100</f>
        <v>1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56"/>
      <c r="Q149" s="361" t="s">
        <v>404</v>
      </c>
      <c r="R149" s="125" t="n">
        <v>1</v>
      </c>
      <c r="S149" s="125" t="n">
        <f aca="false">R149+1</f>
        <v>2</v>
      </c>
      <c r="T149" s="125" t="n">
        <f aca="false">S149+1</f>
        <v>3</v>
      </c>
      <c r="U149" s="125" t="n">
        <f aca="false">T149+1</f>
        <v>4</v>
      </c>
      <c r="V149" s="125" t="n">
        <f aca="false">U149+1</f>
        <v>5</v>
      </c>
      <c r="W149" s="125" t="n">
        <f aca="false">V149+1</f>
        <v>6</v>
      </c>
      <c r="X149" s="125" t="n">
        <f aca="false">W149+1</f>
        <v>7</v>
      </c>
      <c r="Y149" s="125" t="n">
        <f aca="false">X149+1</f>
        <v>8</v>
      </c>
      <c r="Z149" s="125" t="n">
        <f aca="false">Y149+1</f>
        <v>9</v>
      </c>
      <c r="AA149" s="125" t="n">
        <f aca="false">Z149+1</f>
        <v>10</v>
      </c>
      <c r="AB149" s="125" t="n">
        <f aca="false">AA149+1</f>
        <v>11</v>
      </c>
      <c r="AC149" s="564" t="n">
        <f aca="false">AB149+1</f>
        <v>12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68"/>
      <c r="Q150" s="357" t="n">
        <f aca="false">COUNTA(R48:AC147)</f>
        <v>446</v>
      </c>
      <c r="R150" s="544" t="s">
        <v>396</v>
      </c>
      <c r="S150" s="544"/>
      <c r="T150" s="544"/>
      <c r="U150" s="544"/>
      <c r="V150" s="544"/>
      <c r="W150" s="544"/>
      <c r="X150" s="544"/>
      <c r="Y150" s="544"/>
      <c r="Z150" s="544"/>
      <c r="AA150" s="544"/>
      <c r="AB150" s="544"/>
      <c r="AC150" s="544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2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2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 t="s">
        <v>405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2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400" t="n">
        <f aca="false">Q150/1200</f>
        <v>0.3716666667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</sheetData>
  <mergeCells count="41">
    <mergeCell ref="P1:AC1"/>
    <mergeCell ref="P2:P22"/>
    <mergeCell ref="R24:AC24"/>
    <mergeCell ref="AD26:AD27"/>
    <mergeCell ref="AE26:AE27"/>
    <mergeCell ref="AF26:AF27"/>
    <mergeCell ref="R28:AC28"/>
    <mergeCell ref="R29:AC29"/>
    <mergeCell ref="R30:AC30"/>
    <mergeCell ref="R31:AC31"/>
    <mergeCell ref="R32:AC32"/>
    <mergeCell ref="R33:AC33"/>
    <mergeCell ref="R34:AC34"/>
    <mergeCell ref="R35:AC35"/>
    <mergeCell ref="R36:AC36"/>
    <mergeCell ref="R37:AC37"/>
    <mergeCell ref="R38:AC38"/>
    <mergeCell ref="R39:AC39"/>
    <mergeCell ref="P47:AC47"/>
    <mergeCell ref="P48:P148"/>
    <mergeCell ref="Q48:Q52"/>
    <mergeCell ref="Q53:Q57"/>
    <mergeCell ref="Q58:Q62"/>
    <mergeCell ref="Q63:Q67"/>
    <mergeCell ref="Q68:Q72"/>
    <mergeCell ref="Q73:Q77"/>
    <mergeCell ref="Q78:Q82"/>
    <mergeCell ref="Q83:Q87"/>
    <mergeCell ref="Q88:Q92"/>
    <mergeCell ref="Q93:Q97"/>
    <mergeCell ref="Q98:Q102"/>
    <mergeCell ref="Q103:Q107"/>
    <mergeCell ref="Q108:Q112"/>
    <mergeCell ref="Q113:Q117"/>
    <mergeCell ref="Q118:Q122"/>
    <mergeCell ref="Q123:Q127"/>
    <mergeCell ref="Q128:Q132"/>
    <mergeCell ref="Q133:Q137"/>
    <mergeCell ref="Q138:Q142"/>
    <mergeCell ref="Q143:Q147"/>
    <mergeCell ref="R150:AC150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35.58"/>
    <col collapsed="false" customWidth="true" hidden="false" outlineLevel="0" max="2" min="2" style="0" width="10.43"/>
    <col collapsed="false" customWidth="true" hidden="false" outlineLevel="0" max="3" min="3" style="0" width="38.29"/>
    <col collapsed="false" customWidth="true" hidden="false" outlineLevel="0" max="4" min="4" style="0" width="13.86"/>
    <col collapsed="false" customWidth="true" hidden="false" outlineLevel="0" max="5" min="5" style="0" width="13.43"/>
    <col collapsed="false" customWidth="true" hidden="false" outlineLevel="0" max="6" min="6" style="0" width="31.14"/>
    <col collapsed="false" customWidth="true" hidden="false" outlineLevel="0" max="7" min="7" style="0" width="14.57"/>
    <col collapsed="false" customWidth="true" hidden="false" outlineLevel="0" max="8" min="8" style="0" width="17.43"/>
    <col collapsed="false" customWidth="true" hidden="false" outlineLevel="0" max="9" min="9" style="0" width="12.57"/>
    <col collapsed="false" customWidth="true" hidden="false" outlineLevel="0" max="10" min="10" style="0" width="13.43"/>
    <col collapsed="false" customWidth="true" hidden="false" outlineLevel="0" max="11" min="11" style="0" width="11.99"/>
    <col collapsed="false" customWidth="true" hidden="false" outlineLevel="0" max="16" min="12" style="0" width="13.01"/>
    <col collapsed="false" customWidth="true" hidden="false" outlineLevel="0" max="18" min="17" style="0" width="9"/>
    <col collapsed="false" customWidth="true" hidden="false" outlineLevel="0" max="26" min="19" style="0" width="7"/>
    <col collapsed="false" customWidth="true" hidden="false" outlineLevel="0" max="1025" min="27" style="0" width="14.43"/>
  </cols>
  <sheetData>
    <row r="1" customFormat="false" ht="16.5" hidden="false" customHeight="true" outlineLevel="0" collapsed="false">
      <c r="A1" s="565" t="s">
        <v>406</v>
      </c>
      <c r="B1" s="565"/>
      <c r="C1" s="565"/>
      <c r="D1" s="56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6.5" hidden="false" customHeight="true" outlineLevel="0" collapsed="false">
      <c r="A2" s="565" t="s">
        <v>407</v>
      </c>
      <c r="B2" s="565"/>
      <c r="C2" s="565"/>
      <c r="D2" s="565"/>
      <c r="E2" s="2"/>
      <c r="F2" s="99" t="s">
        <v>0</v>
      </c>
      <c r="G2" s="566" t="n">
        <f aca="false">Inputs!E3</f>
        <v>0.112966468951225</v>
      </c>
      <c r="H2" s="14" t="s">
        <v>408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3.5" hidden="false" customHeight="true" outlineLevel="0" collapsed="false">
      <c r="A3" s="567" t="str">
        <f aca="false">"Average Unweighted  Retail Price (Product 1): $"&amp;A49</f>
        <v>Average Unweighted  Retail Price (Product 1): $0.1403</v>
      </c>
      <c r="B3" s="567"/>
      <c r="C3" s="567"/>
      <c r="D3" s="567"/>
      <c r="E3" s="2"/>
      <c r="F3" s="68" t="s">
        <v>409</v>
      </c>
      <c r="G3" s="568" t="n">
        <f aca="false">-G2+A49</f>
        <v>0.027333531048775</v>
      </c>
      <c r="H3" s="69" t="s">
        <v>408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3.5" hidden="false" customHeight="true" outlineLevel="0" collapsed="false">
      <c r="A4" s="15" t="s">
        <v>410</v>
      </c>
      <c r="B4" s="569"/>
      <c r="C4" s="15" t="s">
        <v>411</v>
      </c>
      <c r="D4" s="56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2.75" hidden="false" customHeight="true" outlineLevel="0" collapsed="false">
      <c r="A5" s="20" t="s">
        <v>412</v>
      </c>
      <c r="B5" s="570" t="n">
        <v>0.15</v>
      </c>
      <c r="C5" s="20" t="s">
        <v>412</v>
      </c>
      <c r="D5" s="570" t="n">
        <v>0.1</v>
      </c>
      <c r="E5" s="2"/>
      <c r="F5" s="99"/>
      <c r="G5" s="13" t="s">
        <v>413</v>
      </c>
      <c r="H5" s="14" t="s">
        <v>414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0" t="s">
        <v>415</v>
      </c>
      <c r="B6" s="570" t="n">
        <v>0.1</v>
      </c>
      <c r="C6" s="20" t="s">
        <v>415</v>
      </c>
      <c r="D6" s="570" t="n">
        <v>0.25</v>
      </c>
      <c r="E6" s="2"/>
      <c r="F6" s="56" t="s">
        <v>416</v>
      </c>
      <c r="G6" s="7" t="n">
        <v>24.99</v>
      </c>
      <c r="H6" s="103" t="s">
        <v>103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0" t="s">
        <v>417</v>
      </c>
      <c r="B7" s="570" t="n">
        <v>0.1</v>
      </c>
      <c r="C7" s="20" t="s">
        <v>417</v>
      </c>
      <c r="D7" s="570" t="n">
        <f aca="false">29.99/200</f>
        <v>0.14995</v>
      </c>
      <c r="E7" s="2"/>
      <c r="F7" s="56" t="s">
        <v>418</v>
      </c>
      <c r="G7" s="7" t="n">
        <v>49.99</v>
      </c>
      <c r="H7" s="103" t="s">
        <v>103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2.75" hidden="false" customHeight="true" outlineLevel="0" collapsed="false">
      <c r="A8" s="20" t="s">
        <v>419</v>
      </c>
      <c r="B8" s="570" t="n">
        <v>0.1</v>
      </c>
      <c r="C8" s="20" t="s">
        <v>419</v>
      </c>
      <c r="D8" s="570" t="n">
        <f aca="false">39.99/300</f>
        <v>0.1333</v>
      </c>
      <c r="E8" s="2"/>
      <c r="F8" s="56" t="s">
        <v>420</v>
      </c>
      <c r="G8" s="7"/>
      <c r="H8" s="35" t="n">
        <f aca="false">-G8+G6</f>
        <v>24.99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2.75" hidden="false" customHeight="true" outlineLevel="0" collapsed="false">
      <c r="A9" s="20" t="s">
        <v>421</v>
      </c>
      <c r="B9" s="570" t="n">
        <f aca="false">29.99/200</f>
        <v>0.14995</v>
      </c>
      <c r="C9" s="20" t="s">
        <v>421</v>
      </c>
      <c r="D9" s="570" t="n">
        <f aca="false">49.99/400</f>
        <v>0.124975</v>
      </c>
      <c r="E9" s="2"/>
      <c r="F9" s="56" t="s">
        <v>422</v>
      </c>
      <c r="G9" s="7"/>
      <c r="H9" s="35" t="n">
        <f aca="false">-G9+G6</f>
        <v>24.99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0" t="s">
        <v>423</v>
      </c>
      <c r="B10" s="570" t="n">
        <f aca="false">39.99/400</f>
        <v>0.099975</v>
      </c>
      <c r="C10" s="20" t="s">
        <v>423</v>
      </c>
      <c r="D10" s="570" t="n">
        <f aca="false">69.99/650</f>
        <v>0.1076769231</v>
      </c>
      <c r="E10" s="2"/>
      <c r="F10" s="68" t="s">
        <v>424</v>
      </c>
      <c r="G10" s="81"/>
      <c r="H10" s="75" t="n">
        <f aca="false">G7-G10</f>
        <v>49.99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20" t="s">
        <v>425</v>
      </c>
      <c r="B11" s="570" t="n">
        <f aca="false">69.99/700</f>
        <v>0.09998571429</v>
      </c>
      <c r="C11" s="61" t="s">
        <v>426</v>
      </c>
      <c r="D11" s="570"/>
      <c r="E11" s="2"/>
      <c r="F11" s="571" t="s">
        <v>427</v>
      </c>
      <c r="G11" s="571"/>
      <c r="H11" s="57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3.5" hidden="false" customHeight="true" outlineLevel="0" collapsed="false">
      <c r="A12" s="61" t="s">
        <v>428</v>
      </c>
      <c r="B12" s="570"/>
      <c r="C12" s="20" t="s">
        <v>412</v>
      </c>
      <c r="D12" s="570" t="n">
        <v>0.1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>
      <c r="A13" s="20" t="s">
        <v>412</v>
      </c>
      <c r="B13" s="570" t="n">
        <v>0.1</v>
      </c>
      <c r="C13" s="20" t="s">
        <v>415</v>
      </c>
      <c r="D13" s="570" t="n">
        <v>0.05</v>
      </c>
      <c r="E13" s="2"/>
      <c r="F13" s="111" t="s">
        <v>429</v>
      </c>
      <c r="G13" s="111"/>
      <c r="H13" s="1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.75" hidden="false" customHeight="true" outlineLevel="0" collapsed="false">
      <c r="A14" s="20" t="s">
        <v>415</v>
      </c>
      <c r="B14" s="570" t="n">
        <f aca="false">30/400</f>
        <v>0.075</v>
      </c>
      <c r="C14" s="20" t="s">
        <v>417</v>
      </c>
      <c r="D14" s="570" t="n">
        <v>0.02</v>
      </c>
      <c r="E14" s="2"/>
      <c r="F14" s="572" t="s">
        <v>430</v>
      </c>
      <c r="G14" s="573" t="s">
        <v>431</v>
      </c>
      <c r="H14" s="574" t="s">
        <v>179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.75" hidden="false" customHeight="true" outlineLevel="0" collapsed="false">
      <c r="A15" s="20" t="s">
        <v>417</v>
      </c>
      <c r="B15" s="570" t="n">
        <f aca="false">50/1000</f>
        <v>0.05</v>
      </c>
      <c r="C15" s="20" t="s">
        <v>419</v>
      </c>
      <c r="D15" s="570"/>
      <c r="E15" s="2"/>
      <c r="F15" s="575" t="s">
        <v>432</v>
      </c>
      <c r="G15" s="552" t="s">
        <v>433</v>
      </c>
      <c r="H15" s="576" t="s">
        <v>433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.75" hidden="false" customHeight="true" outlineLevel="0" collapsed="false">
      <c r="A16" s="20" t="s">
        <v>419</v>
      </c>
      <c r="B16" s="570" t="n">
        <v>0.1</v>
      </c>
      <c r="C16" s="20" t="s">
        <v>421</v>
      </c>
      <c r="D16" s="570"/>
      <c r="E16" s="2"/>
      <c r="F16" s="56" t="s">
        <v>434</v>
      </c>
      <c r="G16" s="552" t="s">
        <v>433</v>
      </c>
      <c r="H16" s="577" t="s">
        <v>433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.75" hidden="false" customHeight="true" outlineLevel="0" collapsed="false">
      <c r="A17" s="20" t="s">
        <v>421</v>
      </c>
      <c r="B17" s="570" t="n">
        <v>0.2</v>
      </c>
      <c r="C17" s="20" t="s">
        <v>423</v>
      </c>
      <c r="D17" s="570"/>
      <c r="E17" s="2"/>
      <c r="F17" s="56" t="s">
        <v>435</v>
      </c>
      <c r="G17" s="552" t="s">
        <v>433</v>
      </c>
      <c r="H17" s="577" t="s">
        <v>433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.75" hidden="false" customHeight="true" outlineLevel="0" collapsed="false">
      <c r="A18" s="20" t="s">
        <v>423</v>
      </c>
      <c r="B18" s="578"/>
      <c r="C18" s="61" t="s">
        <v>436</v>
      </c>
      <c r="D18" s="570"/>
      <c r="E18" s="2"/>
      <c r="F18" s="56" t="s">
        <v>437</v>
      </c>
      <c r="G18" s="552" t="s">
        <v>433</v>
      </c>
      <c r="H18" s="577" t="s">
        <v>433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.75" hidden="false" customHeight="true" outlineLevel="0" collapsed="false">
      <c r="A19" s="20" t="s">
        <v>425</v>
      </c>
      <c r="B19" s="578"/>
      <c r="C19" s="20" t="s">
        <v>412</v>
      </c>
      <c r="D19" s="570" t="n">
        <v>0.1</v>
      </c>
      <c r="E19" s="2"/>
      <c r="F19" s="56" t="s">
        <v>438</v>
      </c>
      <c r="G19" s="552" t="s">
        <v>433</v>
      </c>
      <c r="H19" s="577" t="s">
        <v>433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.75" hidden="false" customHeight="true" outlineLevel="0" collapsed="false">
      <c r="A20" s="20" t="s">
        <v>439</v>
      </c>
      <c r="B20" s="578"/>
      <c r="C20" s="20" t="s">
        <v>415</v>
      </c>
      <c r="D20" s="570" t="n">
        <f aca="false">100/1000</f>
        <v>0.1</v>
      </c>
      <c r="E20" s="2"/>
      <c r="F20" s="56" t="s">
        <v>440</v>
      </c>
      <c r="G20" s="552" t="s">
        <v>433</v>
      </c>
      <c r="H20" s="577" t="s">
        <v>433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2.75" hidden="false" customHeight="true" outlineLevel="0" collapsed="false">
      <c r="A21" s="20" t="s">
        <v>441</v>
      </c>
      <c r="B21" s="578"/>
      <c r="C21" s="20" t="s">
        <v>417</v>
      </c>
      <c r="D21" s="570" t="n">
        <f aca="false">50/400</f>
        <v>0.125</v>
      </c>
      <c r="E21" s="2"/>
      <c r="F21" s="56" t="s">
        <v>442</v>
      </c>
      <c r="G21" s="552" t="s">
        <v>433</v>
      </c>
      <c r="H21" s="577" t="s">
        <v>433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.75" hidden="false" customHeight="true" outlineLevel="0" collapsed="false">
      <c r="A22" s="20" t="s">
        <v>443</v>
      </c>
      <c r="B22" s="578"/>
      <c r="C22" s="20" t="s">
        <v>419</v>
      </c>
      <c r="D22" s="570" t="n">
        <f aca="false">25/130</f>
        <v>0.1923076923</v>
      </c>
      <c r="E22" s="2"/>
      <c r="F22" s="56" t="s">
        <v>444</v>
      </c>
      <c r="G22" s="552" t="s">
        <v>433</v>
      </c>
      <c r="H22" s="577" t="s">
        <v>433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.75" hidden="false" customHeight="true" outlineLevel="0" collapsed="false">
      <c r="A23" s="20" t="s">
        <v>445</v>
      </c>
      <c r="B23" s="578"/>
      <c r="C23" s="20" t="s">
        <v>421</v>
      </c>
      <c r="D23" s="570" t="n">
        <f aca="false">10/30</f>
        <v>0.3333333333</v>
      </c>
      <c r="E23" s="2"/>
      <c r="F23" s="56" t="s">
        <v>446</v>
      </c>
      <c r="G23" s="552" t="s">
        <v>433</v>
      </c>
      <c r="H23" s="577" t="s">
        <v>433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.75" hidden="false" customHeight="true" outlineLevel="0" collapsed="false">
      <c r="A24" s="61" t="s">
        <v>447</v>
      </c>
      <c r="B24" s="570"/>
      <c r="C24" s="20" t="s">
        <v>423</v>
      </c>
      <c r="D24" s="570"/>
      <c r="E24" s="2"/>
      <c r="F24" s="56" t="s">
        <v>448</v>
      </c>
      <c r="G24" s="552" t="s">
        <v>433</v>
      </c>
      <c r="H24" s="577" t="s">
        <v>433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.75" hidden="false" customHeight="true" outlineLevel="0" collapsed="false">
      <c r="A25" s="20" t="s">
        <v>412</v>
      </c>
      <c r="B25" s="570" t="n">
        <f aca="false">9.99/50</f>
        <v>0.1998</v>
      </c>
      <c r="C25" s="20" t="s">
        <v>425</v>
      </c>
      <c r="D25" s="570" t="n">
        <v>0.15</v>
      </c>
      <c r="E25" s="2"/>
      <c r="F25" s="56" t="s">
        <v>449</v>
      </c>
      <c r="G25" s="552" t="s">
        <v>433</v>
      </c>
      <c r="H25" s="577" t="s">
        <v>433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.75" hidden="false" customHeight="true" outlineLevel="0" collapsed="false">
      <c r="A26" s="20" t="s">
        <v>415</v>
      </c>
      <c r="B26" s="570" t="n">
        <f aca="false">19.99/100</f>
        <v>0.1999</v>
      </c>
      <c r="C26" s="20" t="s">
        <v>439</v>
      </c>
      <c r="D26" s="570"/>
      <c r="E26" s="2"/>
      <c r="F26" s="56" t="s">
        <v>450</v>
      </c>
      <c r="G26" s="552" t="s">
        <v>433</v>
      </c>
      <c r="H26" s="577" t="s">
        <v>433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.75" hidden="false" customHeight="true" outlineLevel="0" collapsed="false">
      <c r="A27" s="20" t="s">
        <v>417</v>
      </c>
      <c r="B27" s="578" t="n">
        <f aca="false">29.99/150</f>
        <v>0.1999333333</v>
      </c>
      <c r="C27" s="20" t="s">
        <v>441</v>
      </c>
      <c r="D27" s="570"/>
      <c r="E27" s="2"/>
      <c r="F27" s="56" t="s">
        <v>451</v>
      </c>
      <c r="G27" s="552" t="s">
        <v>433</v>
      </c>
      <c r="H27" s="577" t="s">
        <v>433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.75" hidden="false" customHeight="true" outlineLevel="0" collapsed="false">
      <c r="A28" s="20" t="s">
        <v>419</v>
      </c>
      <c r="B28" s="570" t="n">
        <f aca="false">5.99/30</f>
        <v>0.1996666667</v>
      </c>
      <c r="C28" s="61" t="s">
        <v>452</v>
      </c>
      <c r="D28" s="570"/>
      <c r="E28" s="2"/>
      <c r="F28" s="56" t="s">
        <v>453</v>
      </c>
      <c r="G28" s="552" t="s">
        <v>433</v>
      </c>
      <c r="H28" s="577" t="s">
        <v>433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2.75" hidden="false" customHeight="true" outlineLevel="0" collapsed="false">
      <c r="A29" s="20" t="s">
        <v>421</v>
      </c>
      <c r="B29" s="570" t="n">
        <f aca="false">99.99/400</f>
        <v>0.249975</v>
      </c>
      <c r="C29" s="20" t="s">
        <v>412</v>
      </c>
      <c r="D29" s="570" t="n">
        <f aca="false">10/85</f>
        <v>0.1176470588</v>
      </c>
      <c r="E29" s="2"/>
      <c r="F29" s="56" t="s">
        <v>454</v>
      </c>
      <c r="G29" s="552" t="s">
        <v>433</v>
      </c>
      <c r="H29" s="577" t="s">
        <v>433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2.75" hidden="false" customHeight="true" outlineLevel="0" collapsed="false">
      <c r="A30" s="20" t="s">
        <v>423</v>
      </c>
      <c r="B30" s="570" t="n">
        <f aca="false">79.99/450</f>
        <v>0.1777555556</v>
      </c>
      <c r="C30" s="20" t="s">
        <v>415</v>
      </c>
      <c r="D30" s="570" t="n">
        <f aca="false">30/150</f>
        <v>0.2</v>
      </c>
      <c r="E30" s="2"/>
      <c r="F30" s="56" t="s">
        <v>455</v>
      </c>
      <c r="G30" s="552" t="s">
        <v>433</v>
      </c>
      <c r="H30" s="577" t="s">
        <v>433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2.75" hidden="false" customHeight="true" outlineLevel="0" collapsed="false">
      <c r="A31" s="20" t="s">
        <v>425</v>
      </c>
      <c r="B31" s="570" t="n">
        <f aca="false">39.99/200</f>
        <v>0.19995</v>
      </c>
      <c r="C31" s="20" t="s">
        <v>417</v>
      </c>
      <c r="D31" s="570" t="n">
        <f aca="false">20/200</f>
        <v>0.1</v>
      </c>
      <c r="E31" s="2"/>
      <c r="F31" s="56" t="s">
        <v>456</v>
      </c>
      <c r="G31" s="552" t="s">
        <v>433</v>
      </c>
      <c r="H31" s="577" t="s">
        <v>433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2.75" hidden="false" customHeight="true" outlineLevel="0" collapsed="false">
      <c r="A32" s="20" t="s">
        <v>439</v>
      </c>
      <c r="B32" s="570" t="n">
        <f aca="false">29.99/120</f>
        <v>0.2499166667</v>
      </c>
      <c r="C32" s="20" t="s">
        <v>419</v>
      </c>
      <c r="D32" s="570" t="n">
        <f aca="false">40/250</f>
        <v>0.16</v>
      </c>
      <c r="E32" s="2"/>
      <c r="F32" s="56" t="s">
        <v>457</v>
      </c>
      <c r="G32" s="552" t="s">
        <v>103</v>
      </c>
      <c r="H32" s="577" t="s">
        <v>433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2.75" hidden="false" customHeight="true" outlineLevel="0" collapsed="false">
      <c r="A33" s="20" t="s">
        <v>441</v>
      </c>
      <c r="B33" s="570" t="n">
        <f aca="false">19.99/60</f>
        <v>0.3331666667</v>
      </c>
      <c r="C33" s="20" t="s">
        <v>421</v>
      </c>
      <c r="D33" s="570" t="n">
        <f aca="false">50/400</f>
        <v>0.125</v>
      </c>
      <c r="E33" s="2"/>
      <c r="F33" s="56" t="s">
        <v>458</v>
      </c>
      <c r="G33" s="552" t="s">
        <v>103</v>
      </c>
      <c r="H33" s="577" t="s">
        <v>433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3.5" hidden="false" customHeight="true" outlineLevel="0" collapsed="false">
      <c r="A34" s="20" t="s">
        <v>443</v>
      </c>
      <c r="B34" s="570"/>
      <c r="C34" s="20" t="s">
        <v>423</v>
      </c>
      <c r="D34" s="570" t="n">
        <f aca="false">60/600</f>
        <v>0.1</v>
      </c>
      <c r="E34" s="2"/>
      <c r="F34" s="68" t="s">
        <v>459</v>
      </c>
      <c r="G34" s="556" t="s">
        <v>103</v>
      </c>
      <c r="H34" s="579" t="s">
        <v>103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3.5" hidden="false" customHeight="true" outlineLevel="0" collapsed="false">
      <c r="A35" s="20" t="s">
        <v>445</v>
      </c>
      <c r="B35" s="570" t="n">
        <f aca="false">139.99/800</f>
        <v>0.1749875</v>
      </c>
      <c r="C35" s="20" t="s">
        <v>425</v>
      </c>
      <c r="D35" s="570" t="n">
        <f aca="false">80/900</f>
        <v>0.08888888889</v>
      </c>
      <c r="E35" s="2"/>
      <c r="F35" s="580" t="str">
        <f aca="false">"Services provided advantage goes to "&amp;IF(COUNTA(H15:H34)&lt;COUNTA(G15:G34),"Company 12","Entity 2")</f>
        <v>Services provided advantage goes to Entity 2</v>
      </c>
      <c r="G35" s="580"/>
      <c r="H35" s="58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3.5" hidden="false" customHeight="true" outlineLevel="0" collapsed="false">
      <c r="A36" s="61" t="s">
        <v>460</v>
      </c>
      <c r="B36" s="570"/>
      <c r="C36" s="20" t="s">
        <v>439</v>
      </c>
      <c r="D36" s="570" t="n">
        <f aca="false">100/1200</f>
        <v>0.08333333333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2.75" hidden="false" customHeight="true" outlineLevel="0" collapsed="false">
      <c r="A37" s="20" t="s">
        <v>412</v>
      </c>
      <c r="B37" s="570" t="n">
        <v>0.15</v>
      </c>
      <c r="C37" s="61" t="s">
        <v>461</v>
      </c>
      <c r="D37" s="57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2.75" hidden="false" customHeight="true" outlineLevel="0" collapsed="false">
      <c r="A38" s="20" t="s">
        <v>415</v>
      </c>
      <c r="B38" s="570" t="n">
        <v>0.1</v>
      </c>
      <c r="C38" s="20" t="s">
        <v>412</v>
      </c>
      <c r="D38" s="57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2.75" hidden="false" customHeight="true" outlineLevel="0" collapsed="false">
      <c r="A39" s="20" t="s">
        <v>417</v>
      </c>
      <c r="B39" s="570" t="n">
        <f aca="false">45/350</f>
        <v>0.1285714286</v>
      </c>
      <c r="C39" s="61" t="s">
        <v>462</v>
      </c>
      <c r="D39" s="57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2.75" hidden="false" customHeight="true" outlineLevel="0" collapsed="false">
      <c r="A40" s="20" t="s">
        <v>419</v>
      </c>
      <c r="B40" s="570" t="n">
        <f aca="false">60/600</f>
        <v>0.1</v>
      </c>
      <c r="C40" s="20" t="s">
        <v>412</v>
      </c>
      <c r="D40" s="570" t="n">
        <v>0.2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2.75" hidden="false" customHeight="true" outlineLevel="0" collapsed="false">
      <c r="A41" s="20" t="s">
        <v>421</v>
      </c>
      <c r="B41" s="570" t="n">
        <f aca="false">80/1000</f>
        <v>0.08</v>
      </c>
      <c r="C41" s="20" t="s">
        <v>415</v>
      </c>
      <c r="D41" s="570" t="n">
        <v>0.1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2.75" hidden="false" customHeight="true" outlineLevel="0" collapsed="false">
      <c r="A42" s="61" t="s">
        <v>463</v>
      </c>
      <c r="B42" s="570"/>
      <c r="C42" s="20" t="s">
        <v>417</v>
      </c>
      <c r="D42" s="570" t="n">
        <v>0.1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3.5" hidden="false" customHeight="true" outlineLevel="0" collapsed="false">
      <c r="A43" s="20" t="s">
        <v>464</v>
      </c>
      <c r="B43" s="570" t="n">
        <v>0.1</v>
      </c>
      <c r="C43" s="20"/>
      <c r="D43" s="57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2.75" hidden="false" customHeight="true" outlineLevel="0" collapsed="false">
      <c r="A44" s="581" t="s">
        <v>465</v>
      </c>
      <c r="B44" s="581"/>
      <c r="C44" s="582" t="s">
        <v>466</v>
      </c>
      <c r="D44" s="58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2.75" hidden="false" customHeight="true" outlineLevel="0" collapsed="false">
      <c r="A45" s="583" t="s">
        <v>467</v>
      </c>
      <c r="B45" s="583"/>
      <c r="C45" s="584" t="s">
        <v>468</v>
      </c>
      <c r="D45" s="58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3.5" hidden="false" customHeight="true" outlineLevel="0" collapsed="false">
      <c r="A46" s="585" t="s">
        <v>469</v>
      </c>
      <c r="B46" s="585"/>
      <c r="C46" s="586" t="s">
        <v>470</v>
      </c>
      <c r="D46" s="58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3.5" hidden="false" customHeight="true" outlineLevel="0" collapsed="false">
      <c r="A47" s="346" t="s">
        <v>471</v>
      </c>
      <c r="B47" s="346"/>
      <c r="C47" s="346"/>
      <c r="D47" s="34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2.75" hidden="false" customHeight="true" outlineLevel="0" collapsed="false">
      <c r="A48" s="431"/>
      <c r="B48" s="431" t="s">
        <v>472</v>
      </c>
      <c r="C48" s="587" t="n">
        <f aca="false">SUM(B4:B43)</f>
        <v>4.168533532</v>
      </c>
      <c r="D48" s="431" t="n">
        <f aca="false">COUNTA(B4:B43)</f>
        <v>28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2.75" hidden="false" customHeight="true" outlineLevel="0" collapsed="false">
      <c r="A49" s="431" t="n">
        <f aca="false">ROUNDDOWN(C50/D50,4)</f>
        <v>0.1403</v>
      </c>
      <c r="B49" s="431" t="s">
        <v>473</v>
      </c>
      <c r="C49" s="587" t="n">
        <f aca="false">SUM(D4:D43)</f>
        <v>3.41141223</v>
      </c>
      <c r="D49" s="431" t="n">
        <f aca="false">COUNTA(D4:D43)</f>
        <v>26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2.75" hidden="false" customHeight="true" outlineLevel="0" collapsed="false">
      <c r="A50" s="431"/>
      <c r="B50" s="431" t="s">
        <v>77</v>
      </c>
      <c r="C50" s="587" t="n">
        <f aca="false">SUM(C48:C49)</f>
        <v>7.579945762</v>
      </c>
      <c r="D50" s="465" t="n">
        <f aca="false">SUM(D48:D49)</f>
        <v>54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2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2.75" hidden="false" customHeight="true" outlineLevel="0" collapsed="false">
      <c r="A53" s="431" t="s">
        <v>474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</sheetData>
  <mergeCells count="13">
    <mergeCell ref="A1:D1"/>
    <mergeCell ref="A2:D2"/>
    <mergeCell ref="A3:D3"/>
    <mergeCell ref="F11:H11"/>
    <mergeCell ref="F13:H13"/>
    <mergeCell ref="F35:H35"/>
    <mergeCell ref="A44:B44"/>
    <mergeCell ref="C44:D44"/>
    <mergeCell ref="A45:B45"/>
    <mergeCell ref="C45:D45"/>
    <mergeCell ref="A46:B46"/>
    <mergeCell ref="C46:D46"/>
    <mergeCell ref="A47:D47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3.43"/>
    <col collapsed="false" customWidth="true" hidden="false" outlineLevel="0" max="3" min="3" style="0" width="9.29"/>
    <col collapsed="false" customWidth="true" hidden="false" outlineLevel="0" max="4" min="4" style="0" width="19.3"/>
    <col collapsed="false" customWidth="true" hidden="false" outlineLevel="0" max="5" min="5" style="0" width="15"/>
    <col collapsed="false" customWidth="true" hidden="false" outlineLevel="0" max="7" min="6" style="0" width="15.42"/>
    <col collapsed="false" customWidth="true" hidden="false" outlineLevel="0" max="8" min="8" style="0" width="1.58"/>
    <col collapsed="false" customWidth="true" hidden="false" outlineLevel="0" max="9" min="9" style="0" width="30.7"/>
    <col collapsed="false" customWidth="true" hidden="false" outlineLevel="0" max="10" min="10" style="0" width="10.71"/>
    <col collapsed="false" customWidth="true" hidden="false" outlineLevel="0" max="11" min="11" style="0" width="9.86"/>
    <col collapsed="false" customWidth="true" hidden="false" outlineLevel="0" max="12" min="12" style="0" width="18.43"/>
    <col collapsed="false" customWidth="true" hidden="false" outlineLevel="0" max="13" min="13" style="0" width="18"/>
    <col collapsed="false" customWidth="true" hidden="false" outlineLevel="0" max="14" min="14" style="0" width="18.43"/>
    <col collapsed="false" customWidth="true" hidden="false" outlineLevel="0" max="15" min="15" style="0" width="18.86"/>
    <col collapsed="false" customWidth="true" hidden="false" outlineLevel="0" max="16" min="16" style="0" width="1"/>
    <col collapsed="false" customWidth="true" hidden="false" outlineLevel="0" max="17" min="17" style="0" width="31.57"/>
    <col collapsed="false" customWidth="true" hidden="false" outlineLevel="0" max="18" min="18" style="0" width="9.43"/>
    <col collapsed="false" customWidth="true" hidden="false" outlineLevel="0" max="19" min="19" style="0" width="9.71"/>
    <col collapsed="false" customWidth="true" hidden="false" outlineLevel="0" max="21" min="20" style="0" width="17.29"/>
    <col collapsed="false" customWidth="true" hidden="false" outlineLevel="0" max="23" min="22" style="0" width="18.43"/>
    <col collapsed="false" customWidth="true" hidden="false" outlineLevel="0" max="24" min="24" style="0" width="1.13"/>
    <col collapsed="false" customWidth="true" hidden="false" outlineLevel="0" max="25" min="25" style="0" width="26.71"/>
    <col collapsed="false" customWidth="true" hidden="false" outlineLevel="0" max="27" min="26" style="0" width="7.57"/>
    <col collapsed="false" customWidth="true" hidden="false" outlineLevel="0" max="28" min="28" style="0" width="16.29"/>
    <col collapsed="false" customWidth="true" hidden="false" outlineLevel="0" max="29" min="29" style="0" width="15.57"/>
    <col collapsed="false" customWidth="true" hidden="false" outlineLevel="0" max="30" min="30" style="0" width="16"/>
    <col collapsed="false" customWidth="true" hidden="false" outlineLevel="0" max="31" min="31" style="0" width="16.29"/>
    <col collapsed="false" customWidth="true" hidden="false" outlineLevel="0" max="32" min="32" style="0" width="2.14"/>
    <col collapsed="false" customWidth="true" hidden="false" outlineLevel="0" max="33" min="33" style="0" width="30.57"/>
    <col collapsed="false" customWidth="true" hidden="false" outlineLevel="0" max="35" min="34" style="0" width="9"/>
    <col collapsed="false" customWidth="true" hidden="false" outlineLevel="0" max="36" min="36" style="0" width="13.86"/>
    <col collapsed="false" customWidth="true" hidden="false" outlineLevel="0" max="39" min="37" style="0" width="12.71"/>
    <col collapsed="false" customWidth="true" hidden="false" outlineLevel="0" max="40" min="40" style="0" width="1.86"/>
    <col collapsed="false" customWidth="true" hidden="false" outlineLevel="0" max="41" min="41" style="0" width="30.29"/>
    <col collapsed="false" customWidth="true" hidden="false" outlineLevel="0" max="43" min="42" style="0" width="9"/>
    <col collapsed="false" customWidth="true" hidden="false" outlineLevel="0" max="44" min="44" style="0" width="11.71"/>
    <col collapsed="false" customWidth="true" hidden="false" outlineLevel="0" max="45" min="45" style="0" width="11.3"/>
    <col collapsed="false" customWidth="true" hidden="false" outlineLevel="0" max="46" min="46" style="0" width="12.14"/>
    <col collapsed="false" customWidth="true" hidden="false" outlineLevel="0" max="47" min="47" style="0" width="13.01"/>
    <col collapsed="false" customWidth="true" hidden="false" outlineLevel="0" max="57" min="48" style="0" width="9"/>
    <col collapsed="false" customWidth="true" hidden="false" outlineLevel="0" max="1025" min="58" style="0" width="14.43"/>
  </cols>
  <sheetData>
    <row r="1" customFormat="false" ht="13.5" hidden="false" customHeight="true" outlineLevel="0" collapsed="false">
      <c r="A1" s="390" t="s">
        <v>242</v>
      </c>
      <c r="B1" s="390"/>
      <c r="C1" s="390"/>
      <c r="D1" s="390"/>
      <c r="E1" s="390"/>
      <c r="F1" s="390"/>
      <c r="G1" s="390"/>
      <c r="H1" s="2"/>
      <c r="I1" s="390" t="s">
        <v>243</v>
      </c>
      <c r="J1" s="390"/>
      <c r="K1" s="390"/>
      <c r="L1" s="390"/>
      <c r="M1" s="390"/>
      <c r="N1" s="390"/>
      <c r="O1" s="390"/>
      <c r="P1" s="2"/>
      <c r="Q1" s="390" t="s">
        <v>244</v>
      </c>
      <c r="R1" s="390"/>
      <c r="S1" s="390"/>
      <c r="T1" s="390"/>
      <c r="U1" s="390"/>
      <c r="V1" s="390"/>
      <c r="W1" s="390"/>
      <c r="X1" s="2"/>
      <c r="Y1" s="390" t="s">
        <v>245</v>
      </c>
      <c r="Z1" s="390"/>
      <c r="AA1" s="390"/>
      <c r="AB1" s="390"/>
      <c r="AC1" s="390"/>
      <c r="AD1" s="390"/>
      <c r="AE1" s="390"/>
      <c r="AF1" s="2"/>
      <c r="AG1" s="588" t="s">
        <v>475</v>
      </c>
      <c r="AH1" s="588"/>
      <c r="AI1" s="588"/>
      <c r="AJ1" s="588"/>
      <c r="AK1" s="588"/>
      <c r="AL1" s="588"/>
      <c r="AM1" s="588"/>
      <c r="AN1" s="2"/>
      <c r="AO1" s="588" t="s">
        <v>476</v>
      </c>
      <c r="AP1" s="588"/>
      <c r="AQ1" s="588"/>
      <c r="AR1" s="588"/>
      <c r="AS1" s="588"/>
      <c r="AT1" s="588"/>
      <c r="AU1" s="588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customFormat="false" ht="12.75" hidden="false" customHeight="true" outlineLevel="0" collapsed="false">
      <c r="A2" s="18" t="s">
        <v>122</v>
      </c>
      <c r="B2" s="18"/>
      <c r="C2" s="18"/>
      <c r="D2" s="18"/>
      <c r="E2" s="18"/>
      <c r="F2" s="18"/>
      <c r="G2" s="18"/>
      <c r="H2" s="2"/>
      <c r="I2" s="18" t="str">
        <f aca="false">A2</f>
        <v>Brand 2</v>
      </c>
      <c r="J2" s="18"/>
      <c r="K2" s="18"/>
      <c r="L2" s="18"/>
      <c r="M2" s="18"/>
      <c r="N2" s="18"/>
      <c r="O2" s="18"/>
      <c r="P2" s="2"/>
      <c r="Q2" s="18" t="str">
        <f aca="false">I2</f>
        <v>Brand 2</v>
      </c>
      <c r="R2" s="18"/>
      <c r="S2" s="18"/>
      <c r="T2" s="18"/>
      <c r="U2" s="18"/>
      <c r="V2" s="18"/>
      <c r="W2" s="18"/>
      <c r="X2" s="2"/>
      <c r="Y2" s="18" t="str">
        <f aca="false">Q2</f>
        <v>Brand 2</v>
      </c>
      <c r="Z2" s="18"/>
      <c r="AA2" s="18"/>
      <c r="AB2" s="18"/>
      <c r="AC2" s="18"/>
      <c r="AD2" s="18"/>
      <c r="AE2" s="18"/>
      <c r="AF2" s="2"/>
      <c r="AG2" s="18" t="str">
        <f aca="false">Y2</f>
        <v>Brand 2</v>
      </c>
      <c r="AH2" s="18"/>
      <c r="AI2" s="18"/>
      <c r="AJ2" s="18"/>
      <c r="AK2" s="18"/>
      <c r="AL2" s="18"/>
      <c r="AM2" s="18"/>
      <c r="AN2" s="2"/>
      <c r="AO2" s="18" t="str">
        <f aca="false">AG2</f>
        <v>Brand 2</v>
      </c>
      <c r="AP2" s="18"/>
      <c r="AQ2" s="18"/>
      <c r="AR2" s="18"/>
      <c r="AS2" s="18"/>
      <c r="AT2" s="18"/>
      <c r="AU2" s="18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customFormat="false" ht="12.75" hidden="false" customHeight="true" outlineLevel="0" collapsed="false">
      <c r="A3" s="29" t="s">
        <v>341</v>
      </c>
      <c r="B3" s="29"/>
      <c r="C3" s="29"/>
      <c r="D3" s="29"/>
      <c r="E3" s="29"/>
      <c r="F3" s="29"/>
      <c r="G3" s="29"/>
      <c r="H3" s="2"/>
      <c r="I3" s="29" t="str">
        <f aca="false">A3</f>
        <v>Revenue and Costs</v>
      </c>
      <c r="J3" s="29"/>
      <c r="K3" s="29"/>
      <c r="L3" s="29"/>
      <c r="M3" s="29"/>
      <c r="N3" s="29"/>
      <c r="O3" s="29"/>
      <c r="P3" s="2"/>
      <c r="Q3" s="29" t="str">
        <f aca="false">I3</f>
        <v>Revenue and Costs</v>
      </c>
      <c r="R3" s="29"/>
      <c r="S3" s="29"/>
      <c r="T3" s="29"/>
      <c r="U3" s="29"/>
      <c r="V3" s="29"/>
      <c r="W3" s="29"/>
      <c r="X3" s="2"/>
      <c r="Y3" s="29" t="str">
        <f aca="false">Q3</f>
        <v>Revenue and Costs</v>
      </c>
      <c r="Z3" s="29"/>
      <c r="AA3" s="29"/>
      <c r="AB3" s="29"/>
      <c r="AC3" s="29"/>
      <c r="AD3" s="29"/>
      <c r="AE3" s="29"/>
      <c r="AF3" s="2"/>
      <c r="AG3" s="29" t="s">
        <v>477</v>
      </c>
      <c r="AH3" s="29"/>
      <c r="AI3" s="29"/>
      <c r="AJ3" s="29"/>
      <c r="AK3" s="29"/>
      <c r="AL3" s="29"/>
      <c r="AM3" s="29"/>
      <c r="AN3" s="2"/>
      <c r="AO3" s="29" t="s">
        <v>477</v>
      </c>
      <c r="AP3" s="29"/>
      <c r="AQ3" s="29"/>
      <c r="AR3" s="29"/>
      <c r="AS3" s="29"/>
      <c r="AT3" s="29"/>
      <c r="AU3" s="29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customFormat="false" ht="12.75" hidden="false" customHeight="true" outlineLevel="0" collapsed="false">
      <c r="A4" s="29" t="s">
        <v>247</v>
      </c>
      <c r="B4" s="29"/>
      <c r="C4" s="29"/>
      <c r="D4" s="29"/>
      <c r="E4" s="29"/>
      <c r="F4" s="29"/>
      <c r="G4" s="29"/>
      <c r="H4" s="2"/>
      <c r="I4" s="29" t="s">
        <v>247</v>
      </c>
      <c r="J4" s="29"/>
      <c r="K4" s="29"/>
      <c r="L4" s="29"/>
      <c r="M4" s="29"/>
      <c r="N4" s="29"/>
      <c r="O4" s="29"/>
      <c r="P4" s="2"/>
      <c r="Q4" s="29" t="s">
        <v>247</v>
      </c>
      <c r="R4" s="29"/>
      <c r="S4" s="29"/>
      <c r="T4" s="29"/>
      <c r="U4" s="29"/>
      <c r="V4" s="29"/>
      <c r="W4" s="29"/>
      <c r="X4" s="2"/>
      <c r="Y4" s="29" t="s">
        <v>247</v>
      </c>
      <c r="Z4" s="29"/>
      <c r="AA4" s="29"/>
      <c r="AB4" s="29"/>
      <c r="AC4" s="29"/>
      <c r="AD4" s="29"/>
      <c r="AE4" s="29"/>
      <c r="AF4" s="2"/>
      <c r="AG4" s="29" t="s">
        <v>478</v>
      </c>
      <c r="AH4" s="29"/>
      <c r="AI4" s="29"/>
      <c r="AJ4" s="29"/>
      <c r="AK4" s="29"/>
      <c r="AL4" s="29"/>
      <c r="AM4" s="29"/>
      <c r="AN4" s="2"/>
      <c r="AO4" s="29" t="s">
        <v>478</v>
      </c>
      <c r="AP4" s="29"/>
      <c r="AQ4" s="29"/>
      <c r="AR4" s="29"/>
      <c r="AS4" s="29"/>
      <c r="AT4" s="29"/>
      <c r="AU4" s="29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customFormat="false" ht="12.75" hidden="false" customHeight="true" outlineLevel="0" collapsed="false">
      <c r="A5" s="56"/>
      <c r="B5" s="2"/>
      <c r="C5" s="2"/>
      <c r="D5" s="93" t="str">
        <f aca="false">"Assumes a customer growth rate of "&amp;(Inputs!E11-1)*100&amp;"%"</f>
        <v>Assumes a customer growth rate of 50%</v>
      </c>
      <c r="E5" s="93"/>
      <c r="F5" s="93"/>
      <c r="G5" s="93"/>
      <c r="H5" s="2"/>
      <c r="I5" s="56"/>
      <c r="J5" s="2"/>
      <c r="K5" s="2"/>
      <c r="L5" s="93" t="str">
        <f aca="false">"Assumes a customer growth rate of "&amp;(Inputs!E11-1)*100&amp;"%"</f>
        <v>Assumes a customer growth rate of 50%</v>
      </c>
      <c r="M5" s="93"/>
      <c r="N5" s="93"/>
      <c r="O5" s="93"/>
      <c r="P5" s="2"/>
      <c r="Q5" s="391"/>
      <c r="R5" s="2"/>
      <c r="S5" s="148"/>
      <c r="T5" s="93" t="str">
        <f aca="false">L5</f>
        <v>Assumes a customer growth rate of 50%</v>
      </c>
      <c r="U5" s="93"/>
      <c r="V5" s="93"/>
      <c r="W5" s="93"/>
      <c r="X5" s="148"/>
      <c r="Y5" s="391"/>
      <c r="Z5" s="2"/>
      <c r="AA5" s="148"/>
      <c r="AB5" s="93" t="str">
        <f aca="false">T5</f>
        <v>Assumes a customer growth rate of 50%</v>
      </c>
      <c r="AC5" s="93"/>
      <c r="AD5" s="93"/>
      <c r="AE5" s="93"/>
      <c r="AF5" s="2"/>
      <c r="AG5" s="56"/>
      <c r="AH5" s="2"/>
      <c r="AI5" s="2"/>
      <c r="AJ5" s="93" t="str">
        <f aca="false">AB5</f>
        <v>Assumes a customer growth rate of 50%</v>
      </c>
      <c r="AK5" s="93"/>
      <c r="AL5" s="93"/>
      <c r="AM5" s="93"/>
      <c r="AN5" s="2"/>
      <c r="AO5" s="56"/>
      <c r="AP5" s="2"/>
      <c r="AQ5" s="2"/>
      <c r="AR5" s="93" t="str">
        <f aca="false">AJ5</f>
        <v>Assumes a customer growth rate of 50%</v>
      </c>
      <c r="AS5" s="93"/>
      <c r="AT5" s="93"/>
      <c r="AU5" s="93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customFormat="false" ht="12.75" hidden="false" customHeight="true" outlineLevel="0" collapsed="false">
      <c r="A6" s="185" t="s">
        <v>248</v>
      </c>
      <c r="B6" s="1"/>
      <c r="C6" s="1"/>
      <c r="D6" s="27" t="s">
        <v>249</v>
      </c>
      <c r="E6" s="27" t="s">
        <v>250</v>
      </c>
      <c r="F6" s="27" t="s">
        <v>251</v>
      </c>
      <c r="G6" s="28" t="s">
        <v>252</v>
      </c>
      <c r="H6" s="2"/>
      <c r="I6" s="185" t="str">
        <f aca="false">A6</f>
        <v>Customers</v>
      </c>
      <c r="J6" s="1"/>
      <c r="K6" s="1"/>
      <c r="L6" s="27" t="str">
        <f aca="false">D6</f>
        <v>Year 1</v>
      </c>
      <c r="M6" s="27" t="str">
        <f aca="false">E6</f>
        <v>Year 2</v>
      </c>
      <c r="N6" s="27" t="str">
        <f aca="false">F6</f>
        <v>Year 3</v>
      </c>
      <c r="O6" s="28" t="str">
        <f aca="false">G6</f>
        <v>Year 4</v>
      </c>
      <c r="P6" s="2"/>
      <c r="Q6" s="185" t="str">
        <f aca="false">I6</f>
        <v>Customers</v>
      </c>
      <c r="R6" s="2"/>
      <c r="S6" s="2"/>
      <c r="T6" s="27" t="str">
        <f aca="false">L6</f>
        <v>Year 1</v>
      </c>
      <c r="U6" s="27" t="str">
        <f aca="false">M6</f>
        <v>Year 2</v>
      </c>
      <c r="V6" s="27" t="str">
        <f aca="false">N6</f>
        <v>Year 3</v>
      </c>
      <c r="W6" s="28" t="str">
        <f aca="false">O6</f>
        <v>Year 4</v>
      </c>
      <c r="X6" s="2"/>
      <c r="Y6" s="185" t="str">
        <f aca="false">Q6</f>
        <v>Customers</v>
      </c>
      <c r="Z6" s="2"/>
      <c r="AA6" s="2"/>
      <c r="AB6" s="27" t="str">
        <f aca="false">T6</f>
        <v>Year 1</v>
      </c>
      <c r="AC6" s="27" t="str">
        <f aca="false">U6</f>
        <v>Year 2</v>
      </c>
      <c r="AD6" s="27" t="str">
        <f aca="false">V6</f>
        <v>Year 3</v>
      </c>
      <c r="AE6" s="28" t="str">
        <f aca="false">W6</f>
        <v>Year 4</v>
      </c>
      <c r="AF6" s="2"/>
      <c r="AG6" s="185" t="s">
        <v>353</v>
      </c>
      <c r="AH6" s="1"/>
      <c r="AI6" s="1"/>
      <c r="AJ6" s="27" t="str">
        <f aca="false">AB6</f>
        <v>Year 1</v>
      </c>
      <c r="AK6" s="27" t="str">
        <f aca="false">AC6</f>
        <v>Year 2</v>
      </c>
      <c r="AL6" s="27" t="str">
        <f aca="false">AD6</f>
        <v>Year 3</v>
      </c>
      <c r="AM6" s="28" t="str">
        <f aca="false">AE6</f>
        <v>Year 4</v>
      </c>
      <c r="AN6" s="2"/>
      <c r="AO6" s="185" t="s">
        <v>353</v>
      </c>
      <c r="AP6" s="1"/>
      <c r="AQ6" s="1"/>
      <c r="AR6" s="27" t="str">
        <f aca="false">AJ6</f>
        <v>Year 1</v>
      </c>
      <c r="AS6" s="27" t="str">
        <f aca="false">AK6</f>
        <v>Year 2</v>
      </c>
      <c r="AT6" s="27" t="str">
        <f aca="false">AL6</f>
        <v>Year 3</v>
      </c>
      <c r="AU6" s="28" t="str">
        <f aca="false">AM6</f>
        <v>Year 4</v>
      </c>
      <c r="AV6" s="2"/>
      <c r="AW6" s="2"/>
      <c r="AX6" s="2"/>
      <c r="AY6" s="2"/>
      <c r="AZ6" s="2"/>
      <c r="BA6" s="2"/>
      <c r="BB6" s="2"/>
      <c r="BC6" s="2"/>
      <c r="BD6" s="2"/>
      <c r="BE6" s="2"/>
    </row>
    <row r="7" customFormat="false" ht="12.75" hidden="false" customHeight="true" outlineLevel="0" collapsed="false">
      <c r="A7" s="20" t="str">
        <f aca="false">Inputs!B31</f>
        <v>Brand 2</v>
      </c>
      <c r="B7" s="2"/>
      <c r="C7" s="2"/>
      <c r="D7" s="5" t="n">
        <f aca="false">Inputs!D31</f>
        <v>10000</v>
      </c>
      <c r="E7" s="5" t="n">
        <f aca="false">D7*Inputs!$E$11-Inputs!$E$9*D7</f>
        <v>14500</v>
      </c>
      <c r="F7" s="5" t="n">
        <f aca="false">E7*Inputs!$E$11-Inputs!$E$9*E7</f>
        <v>21025</v>
      </c>
      <c r="G7" s="230" t="n">
        <f aca="false">F7*Inputs!$E$11-Inputs!$E$9*F7</f>
        <v>30486.25</v>
      </c>
      <c r="H7" s="2"/>
      <c r="I7" s="20" t="str">
        <f aca="false">A7</f>
        <v>Brand 2</v>
      </c>
      <c r="J7" s="2"/>
      <c r="K7" s="2"/>
      <c r="L7" s="5" t="n">
        <f aca="false">Inputs!D31</f>
        <v>10000</v>
      </c>
      <c r="M7" s="5" t="n">
        <f aca="false">L7*Inputs!$E$11-Inputs!$E$9*L7</f>
        <v>14500</v>
      </c>
      <c r="N7" s="5" t="n">
        <f aca="false">M7*Inputs!$E$11-Inputs!$E$9*M7</f>
        <v>21025</v>
      </c>
      <c r="O7" s="230" t="n">
        <f aca="false">N7*Inputs!$E$11-Inputs!$E$9*N7</f>
        <v>30486.25</v>
      </c>
      <c r="P7" s="2"/>
      <c r="Q7" s="20" t="str">
        <f aca="false">I7</f>
        <v>Brand 2</v>
      </c>
      <c r="R7" s="2"/>
      <c r="S7" s="2"/>
      <c r="T7" s="5" t="n">
        <f aca="false">L7</f>
        <v>10000</v>
      </c>
      <c r="U7" s="5" t="n">
        <f aca="false">M7</f>
        <v>14500</v>
      </c>
      <c r="V7" s="5" t="n">
        <f aca="false">N7</f>
        <v>21025</v>
      </c>
      <c r="W7" s="230" t="n">
        <f aca="false">O7</f>
        <v>30486.25</v>
      </c>
      <c r="X7" s="2"/>
      <c r="Y7" s="20" t="str">
        <f aca="false">Q7</f>
        <v>Brand 2</v>
      </c>
      <c r="Z7" s="2"/>
      <c r="AA7" s="2"/>
      <c r="AB7" s="5" t="n">
        <f aca="false">T7</f>
        <v>10000</v>
      </c>
      <c r="AC7" s="5" t="n">
        <f aca="false">U7</f>
        <v>14500</v>
      </c>
      <c r="AD7" s="5" t="n">
        <f aca="false">V7</f>
        <v>21025</v>
      </c>
      <c r="AE7" s="230" t="n">
        <f aca="false">W7</f>
        <v>30486.25</v>
      </c>
      <c r="AF7" s="2"/>
      <c r="AG7" s="20" t="s">
        <v>253</v>
      </c>
      <c r="AH7" s="2"/>
      <c r="AI7" s="2"/>
      <c r="AJ7" s="5" t="n">
        <f aca="false">AB8</f>
        <v>10000</v>
      </c>
      <c r="AK7" s="5" t="n">
        <f aca="false">AC8</f>
        <v>14500</v>
      </c>
      <c r="AL7" s="5" t="n">
        <f aca="false">AD8</f>
        <v>21025</v>
      </c>
      <c r="AM7" s="230" t="n">
        <f aca="false">AE8</f>
        <v>30486.25</v>
      </c>
      <c r="AN7" s="2"/>
      <c r="AO7" s="20" t="s">
        <v>253</v>
      </c>
      <c r="AP7" s="2"/>
      <c r="AQ7" s="2"/>
      <c r="AR7" s="5" t="n">
        <f aca="false">AJ7</f>
        <v>10000</v>
      </c>
      <c r="AS7" s="5" t="n">
        <f aca="false">AK7</f>
        <v>14500</v>
      </c>
      <c r="AT7" s="5" t="n">
        <f aca="false">AL7</f>
        <v>21025</v>
      </c>
      <c r="AU7" s="230" t="n">
        <f aca="false">AM7</f>
        <v>30486.25</v>
      </c>
      <c r="AV7" s="2"/>
      <c r="AW7" s="2"/>
      <c r="AX7" s="2"/>
      <c r="AY7" s="2"/>
      <c r="AZ7" s="2"/>
      <c r="BA7" s="2"/>
      <c r="BB7" s="2"/>
      <c r="BC7" s="2"/>
      <c r="BD7" s="2"/>
      <c r="BE7" s="2"/>
    </row>
    <row r="8" customFormat="false" ht="12.75" hidden="false" customHeight="true" outlineLevel="0" collapsed="false">
      <c r="A8" s="392" t="s">
        <v>253</v>
      </c>
      <c r="B8" s="1"/>
      <c r="C8" s="1"/>
      <c r="D8" s="393" t="n">
        <f aca="false">ROUNDUP(SUM(D7),0)</f>
        <v>10000</v>
      </c>
      <c r="E8" s="393" t="n">
        <f aca="false">SUM(E7)</f>
        <v>14500</v>
      </c>
      <c r="F8" s="393" t="n">
        <f aca="false">SUM(F7)</f>
        <v>21025</v>
      </c>
      <c r="G8" s="394" t="n">
        <f aca="false">SUM(G7)</f>
        <v>30486.25</v>
      </c>
      <c r="H8" s="2"/>
      <c r="I8" s="392" t="s">
        <v>253</v>
      </c>
      <c r="J8" s="1"/>
      <c r="K8" s="1"/>
      <c r="L8" s="393" t="n">
        <f aca="false">ROUNDUP(SUM(L7),0)</f>
        <v>10000</v>
      </c>
      <c r="M8" s="393" t="n">
        <f aca="false">SUM(M7)</f>
        <v>14500</v>
      </c>
      <c r="N8" s="393" t="n">
        <f aca="false">SUM(N7)</f>
        <v>21025</v>
      </c>
      <c r="O8" s="394" t="n">
        <f aca="false">SUM(O7)</f>
        <v>30486.25</v>
      </c>
      <c r="P8" s="2"/>
      <c r="Q8" s="392" t="str">
        <f aca="false">I8</f>
        <v>Total Subscribers*</v>
      </c>
      <c r="R8" s="2"/>
      <c r="S8" s="2"/>
      <c r="T8" s="393" t="n">
        <f aca="false">SUM(T7)</f>
        <v>10000</v>
      </c>
      <c r="U8" s="393" t="n">
        <f aca="false">SUM(U7)</f>
        <v>14500</v>
      </c>
      <c r="V8" s="393" t="n">
        <f aca="false">SUM(V7)</f>
        <v>21025</v>
      </c>
      <c r="W8" s="394" t="n">
        <f aca="false">SUM(W7)</f>
        <v>30486.25</v>
      </c>
      <c r="X8" s="2"/>
      <c r="Y8" s="392" t="str">
        <f aca="false">Q8</f>
        <v>Total Subscribers*</v>
      </c>
      <c r="Z8" s="2"/>
      <c r="AA8" s="2"/>
      <c r="AB8" s="393" t="n">
        <f aca="false">SUM(AB7)</f>
        <v>10000</v>
      </c>
      <c r="AC8" s="393" t="n">
        <f aca="false">SUM(AC7)</f>
        <v>14500</v>
      </c>
      <c r="AD8" s="393" t="n">
        <f aca="false">SUM(AD7)</f>
        <v>21025</v>
      </c>
      <c r="AE8" s="394" t="n">
        <f aca="false">SUM(AE7)</f>
        <v>30486.25</v>
      </c>
      <c r="AF8" s="2"/>
      <c r="AG8" s="56"/>
      <c r="AH8" s="2"/>
      <c r="AI8" s="2"/>
      <c r="AJ8" s="2"/>
      <c r="AK8" s="2"/>
      <c r="AL8" s="2"/>
      <c r="AM8" s="25"/>
      <c r="AN8" s="2"/>
      <c r="AO8" s="56"/>
      <c r="AP8" s="2"/>
      <c r="AQ8" s="2"/>
      <c r="AR8" s="2"/>
      <c r="AS8" s="2"/>
      <c r="AT8" s="2"/>
      <c r="AU8" s="25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customFormat="false" ht="12.75" hidden="false" customHeight="true" outlineLevel="0" collapsed="false">
      <c r="A9" s="56"/>
      <c r="B9" s="2"/>
      <c r="C9" s="2"/>
      <c r="D9" s="2"/>
      <c r="E9" s="2"/>
      <c r="F9" s="2"/>
      <c r="G9" s="25"/>
      <c r="H9" s="2"/>
      <c r="I9" s="56"/>
      <c r="J9" s="2"/>
      <c r="K9" s="2"/>
      <c r="L9" s="2"/>
      <c r="M9" s="2"/>
      <c r="N9" s="2"/>
      <c r="O9" s="25"/>
      <c r="P9" s="2"/>
      <c r="Q9" s="61"/>
      <c r="R9" s="2"/>
      <c r="S9" s="2"/>
      <c r="T9" s="2"/>
      <c r="U9" s="2"/>
      <c r="V9" s="2"/>
      <c r="W9" s="25"/>
      <c r="X9" s="2"/>
      <c r="Y9" s="61"/>
      <c r="Z9" s="2"/>
      <c r="AA9" s="2"/>
      <c r="AB9" s="2"/>
      <c r="AC9" s="2"/>
      <c r="AD9" s="2"/>
      <c r="AE9" s="25"/>
      <c r="AF9" s="2"/>
      <c r="AG9" s="61" t="s">
        <v>479</v>
      </c>
      <c r="AH9" s="589" t="s">
        <v>27</v>
      </c>
      <c r="AI9" s="589"/>
      <c r="AJ9" s="589" t="s">
        <v>20</v>
      </c>
      <c r="AK9" s="589"/>
      <c r="AL9" s="590" t="s">
        <v>21</v>
      </c>
      <c r="AM9" s="590"/>
      <c r="AN9" s="2"/>
      <c r="AO9" s="226" t="s">
        <v>480</v>
      </c>
      <c r="AP9" s="226"/>
      <c r="AQ9" s="2"/>
      <c r="AR9" s="228" t="s">
        <v>481</v>
      </c>
      <c r="AS9" s="228"/>
      <c r="AT9" s="228"/>
      <c r="AU9" s="228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customFormat="false" ht="12.75" hidden="false" customHeight="true" outlineLevel="0" collapsed="false">
      <c r="A10" s="61" t="s">
        <v>80</v>
      </c>
      <c r="B10" s="395" t="s">
        <v>254</v>
      </c>
      <c r="C10" s="395" t="s">
        <v>255</v>
      </c>
      <c r="D10" s="27" t="str">
        <f aca="false">D6</f>
        <v>Year 1</v>
      </c>
      <c r="E10" s="27" t="str">
        <f aca="false">E6</f>
        <v>Year 2</v>
      </c>
      <c r="F10" s="27" t="str">
        <f aca="false">F6</f>
        <v>Year 3</v>
      </c>
      <c r="G10" s="28" t="str">
        <f aca="false">G6</f>
        <v>Year 4</v>
      </c>
      <c r="H10" s="2"/>
      <c r="I10" s="61" t="s">
        <v>80</v>
      </c>
      <c r="J10" s="395" t="s">
        <v>254</v>
      </c>
      <c r="K10" s="395" t="s">
        <v>255</v>
      </c>
      <c r="L10" s="27" t="str">
        <f aca="false">L6</f>
        <v>Year 1</v>
      </c>
      <c r="M10" s="27" t="str">
        <f aca="false">M6</f>
        <v>Year 2</v>
      </c>
      <c r="N10" s="27" t="str">
        <f aca="false">N6</f>
        <v>Year 3</v>
      </c>
      <c r="O10" s="28" t="str">
        <f aca="false">O6</f>
        <v>Year 4</v>
      </c>
      <c r="P10" s="2"/>
      <c r="Q10" s="61" t="s">
        <v>80</v>
      </c>
      <c r="R10" s="395" t="s">
        <v>254</v>
      </c>
      <c r="S10" s="395" t="s">
        <v>255</v>
      </c>
      <c r="T10" s="27" t="str">
        <f aca="false">T6</f>
        <v>Year 1</v>
      </c>
      <c r="U10" s="27" t="str">
        <f aca="false">U6</f>
        <v>Year 2</v>
      </c>
      <c r="V10" s="27" t="str">
        <f aca="false">V6</f>
        <v>Year 3</v>
      </c>
      <c r="W10" s="28" t="str">
        <f aca="false">W6</f>
        <v>Year 4</v>
      </c>
      <c r="X10" s="2"/>
      <c r="Y10" s="61" t="s">
        <v>80</v>
      </c>
      <c r="Z10" s="395" t="s">
        <v>254</v>
      </c>
      <c r="AA10" s="395" t="s">
        <v>255</v>
      </c>
      <c r="AB10" s="27" t="str">
        <f aca="false">AB6</f>
        <v>Year 1</v>
      </c>
      <c r="AC10" s="27" t="str">
        <f aca="false">AC6</f>
        <v>Year 2</v>
      </c>
      <c r="AD10" s="27" t="str">
        <f aca="false">AD6</f>
        <v>Year 3</v>
      </c>
      <c r="AE10" s="28" t="str">
        <f aca="false">AE6</f>
        <v>Year 4</v>
      </c>
      <c r="AF10" s="2"/>
      <c r="AG10" s="20" t="s">
        <v>70</v>
      </c>
      <c r="AH10" s="591" t="n">
        <f aca="false">Inputs!C19</f>
        <v>56.4</v>
      </c>
      <c r="AI10" s="591"/>
      <c r="AJ10" s="591" t="n">
        <f aca="false">AP30</f>
        <v>59.99</v>
      </c>
      <c r="AK10" s="591"/>
      <c r="AL10" s="184" t="n">
        <f aca="false">AJ10-AH10</f>
        <v>3.59</v>
      </c>
      <c r="AM10" s="184"/>
      <c r="AN10" s="2"/>
      <c r="AO10" s="592" t="n">
        <f aca="false">B51</f>
        <v>32.28798977</v>
      </c>
      <c r="AP10" s="592"/>
      <c r="AQ10" s="4"/>
      <c r="AR10" s="27" t="str">
        <f aca="false">AR6</f>
        <v>Year 1</v>
      </c>
      <c r="AS10" s="27" t="str">
        <f aca="false">AS6</f>
        <v>Year 2</v>
      </c>
      <c r="AT10" s="27" t="str">
        <f aca="false">AT6</f>
        <v>Year 3</v>
      </c>
      <c r="AU10" s="28" t="str">
        <f aca="false">AU6</f>
        <v>Year 4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customFormat="false" ht="12.75" hidden="false" customHeight="true" outlineLevel="0" collapsed="false">
      <c r="A11" s="20" t="s">
        <v>256</v>
      </c>
      <c r="B11" s="6"/>
      <c r="C11" s="7" t="n">
        <f aca="false">Inputs!AC136</f>
        <v>4.313002171</v>
      </c>
      <c r="D11" s="396" t="n">
        <f aca="false">Inputs!$AC$135/Inputs!$D$39*D8*12</f>
        <v>524890.7722</v>
      </c>
      <c r="E11" s="396" t="n">
        <f aca="false">Inputs!$AC$135/Inputs!$D$39*E8*12</f>
        <v>761091.6197</v>
      </c>
      <c r="F11" s="396" t="n">
        <f aca="false">Inputs!$AC$135/Inputs!$D$39*F8*12</f>
        <v>1103582.849</v>
      </c>
      <c r="G11" s="397" t="n">
        <f aca="false">Inputs!$AC$135/Inputs!$D$39*G8*12</f>
        <v>1600195.13</v>
      </c>
      <c r="H11" s="2"/>
      <c r="I11" s="20" t="str">
        <f aca="false">A11</f>
        <v>Program Fees Revenue**</v>
      </c>
      <c r="J11" s="47"/>
      <c r="K11" s="66" t="n">
        <f aca="false">C11</f>
        <v>4.313002171</v>
      </c>
      <c r="L11" s="398" t="n">
        <f aca="false">D11</f>
        <v>524890.7722</v>
      </c>
      <c r="M11" s="398" t="n">
        <f aca="false">E11</f>
        <v>761091.6197</v>
      </c>
      <c r="N11" s="398" t="n">
        <f aca="false">F11</f>
        <v>1103582.849</v>
      </c>
      <c r="O11" s="399" t="n">
        <f aca="false">G11</f>
        <v>1600195.13</v>
      </c>
      <c r="P11" s="2"/>
      <c r="Q11" s="20" t="str">
        <f aca="false">I11</f>
        <v>Program Fees Revenue**</v>
      </c>
      <c r="R11" s="47"/>
      <c r="S11" s="66" t="n">
        <f aca="false">K11</f>
        <v>4.313002171</v>
      </c>
      <c r="T11" s="398" t="n">
        <f aca="false">L11</f>
        <v>524890.7722</v>
      </c>
      <c r="U11" s="398" t="n">
        <f aca="false">M11</f>
        <v>761091.6197</v>
      </c>
      <c r="V11" s="398" t="n">
        <f aca="false">N11</f>
        <v>1103582.849</v>
      </c>
      <c r="W11" s="399" t="n">
        <f aca="false">O11</f>
        <v>1600195.13</v>
      </c>
      <c r="X11" s="7"/>
      <c r="Y11" s="20" t="str">
        <f aca="false">Q11</f>
        <v>Program Fees Revenue**</v>
      </c>
      <c r="Z11" s="47"/>
      <c r="AA11" s="66" t="n">
        <f aca="false">S11</f>
        <v>4.313002171</v>
      </c>
      <c r="AB11" s="398" t="n">
        <f aca="false">T11</f>
        <v>524890.7722</v>
      </c>
      <c r="AC11" s="398" t="n">
        <f aca="false">U11</f>
        <v>761091.6197</v>
      </c>
      <c r="AD11" s="398" t="n">
        <f aca="false">V11</f>
        <v>1103582.849</v>
      </c>
      <c r="AE11" s="399" t="n">
        <f aca="false">W11</f>
        <v>1600195.13</v>
      </c>
      <c r="AF11" s="2"/>
      <c r="AG11" s="20"/>
      <c r="AH11" s="7"/>
      <c r="AI11" s="100"/>
      <c r="AJ11" s="396"/>
      <c r="AK11" s="396"/>
      <c r="AL11" s="396"/>
      <c r="AM11" s="397"/>
      <c r="AN11" s="2"/>
      <c r="AO11" s="20"/>
      <c r="AP11" s="7"/>
      <c r="AQ11" s="100"/>
      <c r="AR11" s="325" t="n">
        <f aca="false">$AO$10*AR7</f>
        <v>322879.8977</v>
      </c>
      <c r="AS11" s="325" t="n">
        <f aca="false">$AO$10*AS7</f>
        <v>468175.851665</v>
      </c>
      <c r="AT11" s="325" t="n">
        <f aca="false">$AO$10*AT7</f>
        <v>678854.98491425</v>
      </c>
      <c r="AU11" s="593" t="n">
        <f aca="false">$AO$10*AU7</f>
        <v>984339.728125662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customFormat="false" ht="12.75" hidden="false" customHeight="true" outlineLevel="0" collapsed="false">
      <c r="A12" s="20" t="s">
        <v>257</v>
      </c>
      <c r="B12" s="7"/>
      <c r="C12" s="7" t="n">
        <f aca="false">Inputs!AD136</f>
        <v>27.52406047</v>
      </c>
      <c r="D12" s="396" t="n">
        <f aca="false">Inputs!$AD$135/Inputs!$D$39*D8*12</f>
        <v>3349668</v>
      </c>
      <c r="E12" s="396" t="n">
        <f aca="false">Inputs!$AD$135/Inputs!$D$39*E8*12</f>
        <v>4857018.6</v>
      </c>
      <c r="F12" s="396" t="n">
        <f aca="false">Inputs!$AD$135/Inputs!$D$39*F8*12</f>
        <v>7042676.97</v>
      </c>
      <c r="G12" s="397" t="n">
        <f aca="false">Inputs!$AD$135/Inputs!$D$39*G8*12</f>
        <v>10211881.61</v>
      </c>
      <c r="H12" s="2"/>
      <c r="I12" s="20" t="str">
        <f aca="false">A12</f>
        <v>Product 1 Overage Revenue**</v>
      </c>
      <c r="J12" s="47"/>
      <c r="K12" s="66" t="n">
        <f aca="false">C12</f>
        <v>27.52406047</v>
      </c>
      <c r="L12" s="398" t="n">
        <f aca="false">D12</f>
        <v>3349668</v>
      </c>
      <c r="M12" s="398" t="n">
        <f aca="false">E12</f>
        <v>4857018.6</v>
      </c>
      <c r="N12" s="398" t="n">
        <f aca="false">F12</f>
        <v>7042676.97</v>
      </c>
      <c r="O12" s="399" t="n">
        <f aca="false">G12</f>
        <v>10211881.61</v>
      </c>
      <c r="P12" s="2"/>
      <c r="Q12" s="20" t="str">
        <f aca="false">I12</f>
        <v>Product 1 Overage Revenue**</v>
      </c>
      <c r="R12" s="47"/>
      <c r="S12" s="66" t="n">
        <f aca="false">K12</f>
        <v>27.52406047</v>
      </c>
      <c r="T12" s="398" t="n">
        <f aca="false">L12</f>
        <v>3349668</v>
      </c>
      <c r="U12" s="398" t="n">
        <f aca="false">M12</f>
        <v>4857018.6</v>
      </c>
      <c r="V12" s="398" t="n">
        <f aca="false">N12</f>
        <v>7042676.97</v>
      </c>
      <c r="W12" s="399" t="n">
        <f aca="false">O12</f>
        <v>10211881.61</v>
      </c>
      <c r="X12" s="7"/>
      <c r="Y12" s="20" t="str">
        <f aca="false">Q12</f>
        <v>Product 1 Overage Revenue**</v>
      </c>
      <c r="Z12" s="47"/>
      <c r="AA12" s="66" t="n">
        <f aca="false">S12</f>
        <v>27.52406047</v>
      </c>
      <c r="AB12" s="398" t="n">
        <f aca="false">T12</f>
        <v>3349668</v>
      </c>
      <c r="AC12" s="398" t="n">
        <f aca="false">U12</f>
        <v>4857018.6</v>
      </c>
      <c r="AD12" s="398" t="n">
        <f aca="false">V12</f>
        <v>7042676.97</v>
      </c>
      <c r="AE12" s="399" t="n">
        <f aca="false">W12</f>
        <v>10211881.61</v>
      </c>
      <c r="AF12" s="2"/>
      <c r="AG12" s="20"/>
      <c r="AH12" s="594" t="s">
        <v>234</v>
      </c>
      <c r="AI12" s="594"/>
      <c r="AJ12" s="594" t="s">
        <v>482</v>
      </c>
      <c r="AK12" s="594"/>
      <c r="AL12" s="590" t="s">
        <v>483</v>
      </c>
      <c r="AM12" s="590"/>
      <c r="AN12" s="2"/>
      <c r="AO12" s="226" t="s">
        <v>484</v>
      </c>
      <c r="AP12" s="226"/>
      <c r="AQ12" s="2"/>
      <c r="AR12" s="595"/>
      <c r="AS12" s="402"/>
      <c r="AT12" s="595"/>
      <c r="AU12" s="593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customFormat="false" ht="12.75" hidden="false" customHeight="true" outlineLevel="0" collapsed="false">
      <c r="A13" s="20" t="s">
        <v>258</v>
      </c>
      <c r="B13" s="7"/>
      <c r="C13" s="7" t="n">
        <f aca="false">Inputs!AE136</f>
        <v>10.40041418</v>
      </c>
      <c r="D13" s="396" t="n">
        <f aca="false">Inputs!$AE$135/Inputs!$D$39*D8*12</f>
        <v>1265726.567</v>
      </c>
      <c r="E13" s="396" t="n">
        <f aca="false">Inputs!$AE$135/Inputs!$D$39*E8*12</f>
        <v>1835303.523</v>
      </c>
      <c r="F13" s="396" t="n">
        <f aca="false">Inputs!$AE$135/Inputs!$D$39*F8*12</f>
        <v>2661190.108</v>
      </c>
      <c r="G13" s="397" t="n">
        <f aca="false">Inputs!$AE$135/Inputs!$D$39*G8*12</f>
        <v>3858725.656</v>
      </c>
      <c r="H13" s="2"/>
      <c r="I13" s="20" t="str">
        <f aca="false">A13</f>
        <v>Product 2 Overage Revenue**</v>
      </c>
      <c r="J13" s="47"/>
      <c r="K13" s="66" t="n">
        <f aca="false">C13</f>
        <v>10.40041418</v>
      </c>
      <c r="L13" s="398" t="n">
        <f aca="false">D13</f>
        <v>1265726.567</v>
      </c>
      <c r="M13" s="398" t="n">
        <f aca="false">E13</f>
        <v>1835303.523</v>
      </c>
      <c r="N13" s="398" t="n">
        <f aca="false">F13</f>
        <v>2661190.108</v>
      </c>
      <c r="O13" s="399" t="n">
        <f aca="false">G13</f>
        <v>3858725.656</v>
      </c>
      <c r="P13" s="2"/>
      <c r="Q13" s="20" t="str">
        <f aca="false">I13</f>
        <v>Product 2 Overage Revenue**</v>
      </c>
      <c r="R13" s="47"/>
      <c r="S13" s="66" t="n">
        <f aca="false">K13</f>
        <v>10.40041418</v>
      </c>
      <c r="T13" s="398" t="n">
        <f aca="false">L13</f>
        <v>1265726.567</v>
      </c>
      <c r="U13" s="398" t="n">
        <f aca="false">M13</f>
        <v>1835303.523</v>
      </c>
      <c r="V13" s="398" t="n">
        <f aca="false">N13</f>
        <v>2661190.108</v>
      </c>
      <c r="W13" s="399" t="n">
        <f aca="false">O13</f>
        <v>3858725.656</v>
      </c>
      <c r="X13" s="7"/>
      <c r="Y13" s="20" t="str">
        <f aca="false">Q13</f>
        <v>Product 2 Overage Revenue**</v>
      </c>
      <c r="Z13" s="47"/>
      <c r="AA13" s="66" t="n">
        <f aca="false">S13</f>
        <v>10.40041418</v>
      </c>
      <c r="AB13" s="398" t="n">
        <f aca="false">T13</f>
        <v>1265726.567</v>
      </c>
      <c r="AC13" s="398" t="n">
        <f aca="false">U13</f>
        <v>1835303.523</v>
      </c>
      <c r="AD13" s="398" t="n">
        <f aca="false">V13</f>
        <v>2661190.108</v>
      </c>
      <c r="AE13" s="399" t="n">
        <f aca="false">W13</f>
        <v>3858725.656</v>
      </c>
      <c r="AF13" s="2"/>
      <c r="AG13" s="20" t="s">
        <v>8</v>
      </c>
      <c r="AH13" s="596" t="n">
        <f aca="false">Inputs!C11</f>
        <v>0.15</v>
      </c>
      <c r="AI13" s="596"/>
      <c r="AJ13" s="597" t="n">
        <f aca="false">Inputs!E3</f>
        <v>0.112966468951225</v>
      </c>
      <c r="AK13" s="597"/>
      <c r="AL13" s="598" t="n">
        <f aca="false">AH13*AJ13</f>
        <v>0.0169449703426838</v>
      </c>
      <c r="AM13" s="598"/>
      <c r="AN13" s="2"/>
      <c r="AO13" s="599" t="n">
        <v>0.15</v>
      </c>
      <c r="AP13" s="599"/>
      <c r="AQ13" s="48"/>
      <c r="AR13" s="600" t="s">
        <v>485</v>
      </c>
      <c r="AS13" s="600"/>
      <c r="AT13" s="600"/>
      <c r="AU13" s="600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customFormat="false" ht="12.75" hidden="false" customHeight="true" outlineLevel="0" collapsed="false">
      <c r="A14" s="20" t="s">
        <v>259</v>
      </c>
      <c r="B14" s="400"/>
      <c r="C14" s="7" t="n">
        <f aca="false">Inputs!AF136</f>
        <v>0.0207</v>
      </c>
      <c r="D14" s="396" t="n">
        <f aca="false">Inputs!$AF$135/Inputs!$D$39*D8*12</f>
        <v>2519.182359</v>
      </c>
      <c r="E14" s="396" t="n">
        <f aca="false">Inputs!$AF$135/Inputs!$D$39*E8*12</f>
        <v>3652.814421</v>
      </c>
      <c r="F14" s="396" t="n">
        <f aca="false">Inputs!$AF$135/Inputs!$D$39*F8*12</f>
        <v>5296.580911</v>
      </c>
      <c r="G14" s="397" t="n">
        <f aca="false">Inputs!$AF$135/Inputs!$D$39*G8*12</f>
        <v>7680.04232</v>
      </c>
      <c r="H14" s="2"/>
      <c r="I14" s="20" t="str">
        <f aca="false">A14</f>
        <v>Product 3 Usage Revenue**</v>
      </c>
      <c r="J14" s="47"/>
      <c r="K14" s="66" t="n">
        <f aca="false">C14</f>
        <v>0.0207</v>
      </c>
      <c r="L14" s="398" t="n">
        <f aca="false">D14</f>
        <v>2519.182359</v>
      </c>
      <c r="M14" s="398" t="n">
        <f aca="false">E14</f>
        <v>3652.814421</v>
      </c>
      <c r="N14" s="398" t="n">
        <f aca="false">F14</f>
        <v>5296.580911</v>
      </c>
      <c r="O14" s="399" t="n">
        <f aca="false">G14</f>
        <v>7680.04232</v>
      </c>
      <c r="P14" s="2"/>
      <c r="Q14" s="20" t="str">
        <f aca="false">I14</f>
        <v>Product 3 Usage Revenue**</v>
      </c>
      <c r="R14" s="47"/>
      <c r="S14" s="66" t="n">
        <f aca="false">K14</f>
        <v>0.0207</v>
      </c>
      <c r="T14" s="398" t="n">
        <f aca="false">L14</f>
        <v>2519.182359</v>
      </c>
      <c r="U14" s="398" t="n">
        <f aca="false">M14</f>
        <v>3652.814421</v>
      </c>
      <c r="V14" s="398" t="n">
        <f aca="false">N14</f>
        <v>5296.580911</v>
      </c>
      <c r="W14" s="399" t="n">
        <f aca="false">O14</f>
        <v>7680.04232</v>
      </c>
      <c r="X14" s="7"/>
      <c r="Y14" s="20" t="str">
        <f aca="false">Q14</f>
        <v>Product 3 Usage Revenue**</v>
      </c>
      <c r="Z14" s="47"/>
      <c r="AA14" s="66" t="n">
        <f aca="false">S14</f>
        <v>0.0207</v>
      </c>
      <c r="AB14" s="398" t="n">
        <f aca="false">T14</f>
        <v>2519.182359</v>
      </c>
      <c r="AC14" s="398" t="n">
        <f aca="false">U14</f>
        <v>3652.814421</v>
      </c>
      <c r="AD14" s="398" t="n">
        <f aca="false">V14</f>
        <v>5296.580911</v>
      </c>
      <c r="AE14" s="399" t="n">
        <f aca="false">W14</f>
        <v>7680.04232</v>
      </c>
      <c r="AF14" s="2"/>
      <c r="AG14" s="20"/>
      <c r="AH14" s="48"/>
      <c r="AI14" s="4"/>
      <c r="AJ14" s="601"/>
      <c r="AK14" s="4"/>
      <c r="AL14" s="601"/>
      <c r="AM14" s="598"/>
      <c r="AN14" s="2"/>
      <c r="AO14" s="20"/>
      <c r="AP14" s="48"/>
      <c r="AQ14" s="4"/>
      <c r="AR14" s="472" t="str">
        <f aca="false">AR6</f>
        <v>Year 1</v>
      </c>
      <c r="AS14" s="472" t="str">
        <f aca="false">AS6</f>
        <v>Year 2</v>
      </c>
      <c r="AT14" s="472" t="str">
        <f aca="false">AT6</f>
        <v>Year 3</v>
      </c>
      <c r="AU14" s="473" t="str">
        <f aca="false">AU6</f>
        <v>Year 4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customFormat="false" ht="12.75" hidden="false" customHeight="true" outlineLevel="0" collapsed="false">
      <c r="A15" s="20" t="s">
        <v>260</v>
      </c>
      <c r="B15" s="400"/>
      <c r="C15" s="144" t="n">
        <f aca="false">Inputs!AG136</f>
        <v>1.035936265</v>
      </c>
      <c r="D15" s="396" t="n">
        <f aca="false">Inputs!$AG$135/Inputs!$D$39*D8*12</f>
        <v>126073.0611</v>
      </c>
      <c r="E15" s="396" t="n">
        <f aca="false">Inputs!$AG$135/Inputs!$D$39*E8*12</f>
        <v>182805.9386</v>
      </c>
      <c r="F15" s="396" t="n">
        <f aca="false">Inputs!$AG$135/Inputs!$D$39*F8*12</f>
        <v>265068.611</v>
      </c>
      <c r="G15" s="397" t="n">
        <f aca="false">Inputs!$AG$135/Inputs!$D$39*G8*12</f>
        <v>384349.486</v>
      </c>
      <c r="H15" s="2"/>
      <c r="I15" s="20" t="str">
        <f aca="false">A15</f>
        <v>Product 1 "Breakage" Revenue</v>
      </c>
      <c r="J15" s="47"/>
      <c r="K15" s="66" t="n">
        <f aca="false">C15</f>
        <v>1.035936265</v>
      </c>
      <c r="L15" s="398" t="n">
        <f aca="false">D15</f>
        <v>126073.0611</v>
      </c>
      <c r="M15" s="398" t="n">
        <f aca="false">E15</f>
        <v>182805.9386</v>
      </c>
      <c r="N15" s="398" t="n">
        <f aca="false">F15</f>
        <v>265068.611</v>
      </c>
      <c r="O15" s="399" t="n">
        <f aca="false">G15</f>
        <v>384349.486</v>
      </c>
      <c r="P15" s="2"/>
      <c r="Q15" s="20" t="str">
        <f aca="false">I15</f>
        <v>Product 1 "Breakage" Revenue</v>
      </c>
      <c r="R15" s="47"/>
      <c r="S15" s="66" t="n">
        <f aca="false">K15</f>
        <v>1.035936265</v>
      </c>
      <c r="T15" s="398" t="n">
        <f aca="false">L15</f>
        <v>126073.0611</v>
      </c>
      <c r="U15" s="398" t="n">
        <f aca="false">M15</f>
        <v>182805.9386</v>
      </c>
      <c r="V15" s="398" t="n">
        <f aca="false">N15</f>
        <v>265068.611</v>
      </c>
      <c r="W15" s="399" t="n">
        <f aca="false">O15</f>
        <v>384349.486</v>
      </c>
      <c r="X15" s="7"/>
      <c r="Y15" s="20" t="str">
        <f aca="false">Q15</f>
        <v>Product 1 "Breakage" Revenue</v>
      </c>
      <c r="Z15" s="47"/>
      <c r="AA15" s="66" t="n">
        <f aca="false">S15</f>
        <v>1.035936265</v>
      </c>
      <c r="AB15" s="398" t="n">
        <f aca="false">T15</f>
        <v>126073.0611</v>
      </c>
      <c r="AC15" s="398" t="n">
        <f aca="false">U15</f>
        <v>182805.9386</v>
      </c>
      <c r="AD15" s="398" t="n">
        <f aca="false">V15</f>
        <v>265068.611</v>
      </c>
      <c r="AE15" s="399" t="n">
        <f aca="false">W15</f>
        <v>384349.486</v>
      </c>
      <c r="AF15" s="2"/>
      <c r="AG15" s="61" t="s">
        <v>175</v>
      </c>
      <c r="AH15" s="48"/>
      <c r="AI15" s="4"/>
      <c r="AJ15" s="601"/>
      <c r="AK15" s="4"/>
      <c r="AL15" s="601"/>
      <c r="AM15" s="598"/>
      <c r="AN15" s="2"/>
      <c r="AO15" s="226" t="s">
        <v>486</v>
      </c>
      <c r="AP15" s="226"/>
      <c r="AQ15" s="4"/>
      <c r="AR15" s="325" t="n">
        <f aca="false">$AO$13*AR11</f>
        <v>48431.984655</v>
      </c>
      <c r="AS15" s="325" t="n">
        <f aca="false">$AO$13*AS11</f>
        <v>70226.37774975</v>
      </c>
      <c r="AT15" s="325" t="n">
        <f aca="false">$AO$13*AT11</f>
        <v>101828.247737138</v>
      </c>
      <c r="AU15" s="593" t="n">
        <f aca="false">$AO$13*AU11</f>
        <v>147650.959218849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customFormat="false" ht="12.75" hidden="false" customHeight="true" outlineLevel="0" collapsed="false">
      <c r="A16" s="20" t="s">
        <v>261</v>
      </c>
      <c r="B16" s="7"/>
      <c r="C16" s="7" t="n">
        <f aca="false">Inputs!AH136</f>
        <v>0</v>
      </c>
      <c r="D16" s="396" t="n">
        <f aca="false">Inputs!$AH$135/Inputs!$D$39*D8*12</f>
        <v>0</v>
      </c>
      <c r="E16" s="396" t="n">
        <f aca="false">Inputs!$AH$135/Inputs!$D$39*E8*12</f>
        <v>0</v>
      </c>
      <c r="F16" s="396" t="n">
        <f aca="false">Inputs!$AH$135/Inputs!$D$39*F8*12</f>
        <v>0</v>
      </c>
      <c r="G16" s="397" t="n">
        <f aca="false">Inputs!$AH$135/Inputs!$D$39*G8*12</f>
        <v>0</v>
      </c>
      <c r="H16" s="2"/>
      <c r="I16" s="20" t="str">
        <f aca="false">A16</f>
        <v>Product 2 "Breakage" Revenue</v>
      </c>
      <c r="J16" s="47"/>
      <c r="K16" s="66" t="n">
        <f aca="false">C16</f>
        <v>0</v>
      </c>
      <c r="L16" s="398" t="n">
        <f aca="false">D16</f>
        <v>0</v>
      </c>
      <c r="M16" s="398" t="n">
        <f aca="false">E16</f>
        <v>0</v>
      </c>
      <c r="N16" s="398" t="n">
        <f aca="false">F16</f>
        <v>0</v>
      </c>
      <c r="O16" s="399" t="n">
        <f aca="false">G16</f>
        <v>0</v>
      </c>
      <c r="P16" s="2"/>
      <c r="Q16" s="20" t="str">
        <f aca="false">I16</f>
        <v>Product 2 "Breakage" Revenue</v>
      </c>
      <c r="R16" s="47"/>
      <c r="S16" s="66" t="n">
        <f aca="false">K16</f>
        <v>0</v>
      </c>
      <c r="T16" s="398" t="n">
        <f aca="false">L16</f>
        <v>0</v>
      </c>
      <c r="U16" s="398" t="n">
        <f aca="false">M16</f>
        <v>0</v>
      </c>
      <c r="V16" s="398" t="n">
        <f aca="false">N16</f>
        <v>0</v>
      </c>
      <c r="W16" s="399" t="n">
        <f aca="false">O16</f>
        <v>0</v>
      </c>
      <c r="X16" s="7"/>
      <c r="Y16" s="20" t="str">
        <f aca="false">Q16</f>
        <v>Product 2 "Breakage" Revenue</v>
      </c>
      <c r="Z16" s="47"/>
      <c r="AA16" s="66" t="n">
        <f aca="false">S16</f>
        <v>0</v>
      </c>
      <c r="AB16" s="398" t="n">
        <f aca="false">T16</f>
        <v>0</v>
      </c>
      <c r="AC16" s="398" t="n">
        <f aca="false">U16</f>
        <v>0</v>
      </c>
      <c r="AD16" s="398" t="n">
        <f aca="false">V16</f>
        <v>0</v>
      </c>
      <c r="AE16" s="399" t="n">
        <f aca="false">W16</f>
        <v>0</v>
      </c>
      <c r="AF16" s="2"/>
      <c r="AG16" s="20" t="s">
        <v>487</v>
      </c>
      <c r="AH16" s="602" t="s">
        <v>488</v>
      </c>
      <c r="AI16" s="602"/>
      <c r="AJ16" s="76" t="n">
        <f aca="false">Inputs!$C$23*AJ7</f>
        <v>2290000</v>
      </c>
      <c r="AK16" s="76" t="n">
        <f aca="false">Inputs!$C$23*AK7</f>
        <v>3320500</v>
      </c>
      <c r="AL16" s="76" t="n">
        <f aca="false">Inputs!$C$23*AL7</f>
        <v>4814725</v>
      </c>
      <c r="AM16" s="603" t="n">
        <f aca="false">Inputs!$C$23*AM7</f>
        <v>6981351.25</v>
      </c>
      <c r="AN16" s="2"/>
      <c r="AO16" s="592" t="n">
        <f aca="false">SUM(AR15:AU15)/SUM(AR7:AU7)</f>
        <v>4.843198465</v>
      </c>
      <c r="AP16" s="592"/>
      <c r="AQ16" s="604"/>
      <c r="AR16" s="76"/>
      <c r="AS16" s="76"/>
      <c r="AT16" s="76"/>
      <c r="AU16" s="603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customFormat="false" ht="12.75" hidden="false" customHeight="true" outlineLevel="0" collapsed="false">
      <c r="A17" s="20" t="s">
        <v>134</v>
      </c>
      <c r="B17" s="7"/>
      <c r="C17" s="7" t="n">
        <f aca="false">Inputs!AI136</f>
        <v>2.125889767</v>
      </c>
      <c r="D17" s="396" t="n">
        <f aca="false">Inputs!$AI$135/Inputs!$D$39*D8*12</f>
        <v>258720</v>
      </c>
      <c r="E17" s="396" t="n">
        <f aca="false">Inputs!$AI$135/Inputs!$D$39*E8*12</f>
        <v>375144</v>
      </c>
      <c r="F17" s="396" t="n">
        <f aca="false">Inputs!$AI$135/Inputs!$D$39*F8*12</f>
        <v>543958.8</v>
      </c>
      <c r="G17" s="397" t="n">
        <f aca="false">Inputs!$AI$135/Inputs!$D$39*G8*12</f>
        <v>788740.26</v>
      </c>
      <c r="H17" s="2"/>
      <c r="I17" s="20" t="str">
        <f aca="false">A17</f>
        <v>Daily Charge</v>
      </c>
      <c r="J17" s="47"/>
      <c r="K17" s="66" t="n">
        <f aca="false">C17</f>
        <v>2.125889767</v>
      </c>
      <c r="L17" s="398" t="n">
        <f aca="false">D17</f>
        <v>258720</v>
      </c>
      <c r="M17" s="398" t="n">
        <f aca="false">E17</f>
        <v>375144</v>
      </c>
      <c r="N17" s="398" t="n">
        <f aca="false">F17</f>
        <v>543958.8</v>
      </c>
      <c r="O17" s="399" t="n">
        <f aca="false">G17</f>
        <v>788740.26</v>
      </c>
      <c r="P17" s="2"/>
      <c r="Q17" s="20" t="str">
        <f aca="false">I17</f>
        <v>Daily Charge</v>
      </c>
      <c r="R17" s="47"/>
      <c r="S17" s="66" t="n">
        <f aca="false">K17</f>
        <v>2.125889767</v>
      </c>
      <c r="T17" s="398" t="n">
        <f aca="false">L17</f>
        <v>258720</v>
      </c>
      <c r="U17" s="398" t="n">
        <f aca="false">M17</f>
        <v>375144</v>
      </c>
      <c r="V17" s="398" t="n">
        <f aca="false">N17</f>
        <v>543958.8</v>
      </c>
      <c r="W17" s="399" t="n">
        <f aca="false">O17</f>
        <v>788740.26</v>
      </c>
      <c r="X17" s="7"/>
      <c r="Y17" s="20" t="str">
        <f aca="false">Q17</f>
        <v>Daily Charge</v>
      </c>
      <c r="Z17" s="47"/>
      <c r="AA17" s="66" t="n">
        <f aca="false">S17</f>
        <v>2.125889767</v>
      </c>
      <c r="AB17" s="398" t="n">
        <f aca="false">T17</f>
        <v>258720</v>
      </c>
      <c r="AC17" s="398" t="n">
        <f aca="false">U17</f>
        <v>375144</v>
      </c>
      <c r="AD17" s="398" t="n">
        <f aca="false">V17</f>
        <v>543958.8</v>
      </c>
      <c r="AE17" s="399" t="n">
        <f aca="false">W17</f>
        <v>788740.26</v>
      </c>
      <c r="AF17" s="2"/>
      <c r="AG17" s="20" t="s">
        <v>489</v>
      </c>
      <c r="AH17" s="602"/>
      <c r="AI17" s="602"/>
      <c r="AJ17" s="76" t="n">
        <f aca="false">AJ16*12</f>
        <v>27480000</v>
      </c>
      <c r="AK17" s="76" t="n">
        <f aca="false">AK16*12</f>
        <v>39846000</v>
      </c>
      <c r="AL17" s="76" t="n">
        <f aca="false">AL16*12</f>
        <v>57776700</v>
      </c>
      <c r="AM17" s="603" t="n">
        <f aca="false">AM16*12</f>
        <v>83776215</v>
      </c>
      <c r="AN17" s="2"/>
      <c r="AO17" s="20"/>
      <c r="AP17" s="604"/>
      <c r="AQ17" s="604"/>
      <c r="AR17" s="76"/>
      <c r="AS17" s="76"/>
      <c r="AT17" s="76"/>
      <c r="AU17" s="603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customFormat="false" ht="12.75" hidden="false" customHeight="true" outlineLevel="0" collapsed="false">
      <c r="A18" s="20" t="s">
        <v>38</v>
      </c>
      <c r="B18" s="2"/>
      <c r="C18" s="401" t="n">
        <v>0.1</v>
      </c>
      <c r="D18" s="402" t="n">
        <v>0</v>
      </c>
      <c r="E18" s="402" t="n">
        <v>0</v>
      </c>
      <c r="F18" s="402" t="n">
        <v>0</v>
      </c>
      <c r="G18" s="403" t="n">
        <v>0</v>
      </c>
      <c r="H18" s="2"/>
      <c r="I18" s="20" t="str">
        <f aca="false">A18</f>
        <v>Product 4</v>
      </c>
      <c r="J18" s="47"/>
      <c r="K18" s="401" t="n">
        <f aca="false">C18</f>
        <v>0.1</v>
      </c>
      <c r="L18" s="398" t="n">
        <f aca="false">D18</f>
        <v>0</v>
      </c>
      <c r="M18" s="398" t="n">
        <f aca="false">E18</f>
        <v>0</v>
      </c>
      <c r="N18" s="398" t="n">
        <f aca="false">F18</f>
        <v>0</v>
      </c>
      <c r="O18" s="399" t="n">
        <f aca="false">G18</f>
        <v>0</v>
      </c>
      <c r="P18" s="2"/>
      <c r="Q18" s="20" t="str">
        <f aca="false">I18</f>
        <v>Product 4</v>
      </c>
      <c r="R18" s="47"/>
      <c r="S18" s="401" t="n">
        <f aca="false">K18</f>
        <v>0.1</v>
      </c>
      <c r="T18" s="398" t="n">
        <f aca="false">L18</f>
        <v>0</v>
      </c>
      <c r="U18" s="398" t="n">
        <f aca="false">M18</f>
        <v>0</v>
      </c>
      <c r="V18" s="398" t="n">
        <f aca="false">N18</f>
        <v>0</v>
      </c>
      <c r="W18" s="399" t="n">
        <f aca="false">O18</f>
        <v>0</v>
      </c>
      <c r="X18" s="7"/>
      <c r="Y18" s="20" t="str">
        <f aca="false">Q18</f>
        <v>Product 4</v>
      </c>
      <c r="Z18" s="47"/>
      <c r="AA18" s="401" t="n">
        <f aca="false">S18</f>
        <v>0.1</v>
      </c>
      <c r="AB18" s="398" t="n">
        <f aca="false">T18</f>
        <v>0</v>
      </c>
      <c r="AC18" s="398" t="n">
        <f aca="false">U18</f>
        <v>0</v>
      </c>
      <c r="AD18" s="398" t="n">
        <f aca="false">V18</f>
        <v>0</v>
      </c>
      <c r="AE18" s="399" t="n">
        <f aca="false">W18</f>
        <v>0</v>
      </c>
      <c r="AF18" s="2"/>
      <c r="AG18" s="20" t="s">
        <v>490</v>
      </c>
      <c r="AH18" s="48"/>
      <c r="AI18" s="4"/>
      <c r="AJ18" s="76" t="n">
        <f aca="false">D59</f>
        <v>10000</v>
      </c>
      <c r="AK18" s="76" t="n">
        <f aca="false">E59</f>
        <v>10500</v>
      </c>
      <c r="AL18" s="76" t="n">
        <f aca="false">F59</f>
        <v>15225</v>
      </c>
      <c r="AM18" s="603" t="n">
        <f aca="false">G59</f>
        <v>22076.25</v>
      </c>
      <c r="AN18" s="2"/>
      <c r="AO18" s="61" t="s">
        <v>491</v>
      </c>
      <c r="AP18" s="2"/>
      <c r="AQ18" s="6"/>
      <c r="AR18" s="27" t="str">
        <f aca="false">AR6</f>
        <v>Year 1</v>
      </c>
      <c r="AS18" s="27" t="str">
        <f aca="false">AS6</f>
        <v>Year 2</v>
      </c>
      <c r="AT18" s="27" t="str">
        <f aca="false">AT6</f>
        <v>Year 3</v>
      </c>
      <c r="AU18" s="28" t="str">
        <f aca="false">AU6</f>
        <v>Year 4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customFormat="false" ht="12.75" hidden="false" customHeight="true" outlineLevel="0" collapsed="false">
      <c r="A19" s="20" t="s">
        <v>262</v>
      </c>
      <c r="B19" s="7" t="n">
        <f aca="false">Inputs!E15</f>
        <v>56.4</v>
      </c>
      <c r="C19" s="7"/>
      <c r="D19" s="396" t="n">
        <f aca="false">D$59*$B$19</f>
        <v>564000</v>
      </c>
      <c r="E19" s="396" t="n">
        <f aca="false">E59*$B$19</f>
        <v>592200</v>
      </c>
      <c r="F19" s="396" t="n">
        <f aca="false">F59*$B$19</f>
        <v>858690</v>
      </c>
      <c r="G19" s="397" t="n">
        <f aca="false">G59*$B$19</f>
        <v>1245100.5</v>
      </c>
      <c r="H19" s="2"/>
      <c r="I19" s="20" t="str">
        <f aca="false">A19</f>
        <v>Customer Equipment Sales</v>
      </c>
      <c r="J19" s="66" t="n">
        <f aca="false">B19</f>
        <v>56.4</v>
      </c>
      <c r="K19" s="47"/>
      <c r="L19" s="398" t="n">
        <f aca="false">D19</f>
        <v>564000</v>
      </c>
      <c r="M19" s="398" t="n">
        <f aca="false">E19</f>
        <v>592200</v>
      </c>
      <c r="N19" s="398" t="n">
        <f aca="false">F19</f>
        <v>858690</v>
      </c>
      <c r="O19" s="399" t="n">
        <f aca="false">G19</f>
        <v>1245100.5</v>
      </c>
      <c r="P19" s="2"/>
      <c r="Q19" s="20" t="str">
        <f aca="false">I19</f>
        <v>Customer Equipment Sales</v>
      </c>
      <c r="R19" s="66" t="n">
        <f aca="false">J19</f>
        <v>56.4</v>
      </c>
      <c r="S19" s="47"/>
      <c r="T19" s="398" t="n">
        <f aca="false">L19</f>
        <v>564000</v>
      </c>
      <c r="U19" s="398" t="n">
        <f aca="false">M19</f>
        <v>592200</v>
      </c>
      <c r="V19" s="398" t="n">
        <f aca="false">N19</f>
        <v>858690</v>
      </c>
      <c r="W19" s="399" t="n">
        <f aca="false">O19</f>
        <v>1245100.5</v>
      </c>
      <c r="X19" s="2"/>
      <c r="Y19" s="20" t="str">
        <f aca="false">Q19</f>
        <v>Customer Equipment Sales</v>
      </c>
      <c r="Z19" s="66" t="n">
        <f aca="false">R19</f>
        <v>56.4</v>
      </c>
      <c r="AA19" s="47"/>
      <c r="AB19" s="398" t="n">
        <f aca="false">T19</f>
        <v>564000</v>
      </c>
      <c r="AC19" s="398" t="n">
        <f aca="false">U19</f>
        <v>592200</v>
      </c>
      <c r="AD19" s="398" t="n">
        <f aca="false">V19</f>
        <v>858690</v>
      </c>
      <c r="AE19" s="399" t="n">
        <f aca="false">W19</f>
        <v>1245100.5</v>
      </c>
      <c r="AF19" s="2"/>
      <c r="AG19" s="20"/>
      <c r="AH19" s="7"/>
      <c r="AI19" s="7"/>
      <c r="AJ19" s="396"/>
      <c r="AK19" s="396"/>
      <c r="AL19" s="396"/>
      <c r="AM19" s="397"/>
      <c r="AN19" s="2"/>
      <c r="AO19" s="20" t="s">
        <v>492</v>
      </c>
      <c r="AP19" s="2"/>
      <c r="AQ19" s="2"/>
      <c r="AR19" s="100" t="n">
        <f aca="false">AJ31</f>
        <v>48</v>
      </c>
      <c r="AS19" s="100" t="n">
        <f aca="false">AK31</f>
        <v>72</v>
      </c>
      <c r="AT19" s="100" t="n">
        <f aca="false">AL31</f>
        <v>108</v>
      </c>
      <c r="AU19" s="142" t="n">
        <f aca="false">AM31</f>
        <v>162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customFormat="false" ht="12.75" hidden="false" customHeight="true" outlineLevel="0" collapsed="false">
      <c r="A20" s="20" t="s">
        <v>263</v>
      </c>
      <c r="B20" s="7" t="n">
        <f aca="false">Inputs!E14</f>
        <v>0</v>
      </c>
      <c r="C20" s="7"/>
      <c r="D20" s="404" t="n">
        <f aca="false">D$59*$B$20</f>
        <v>0</v>
      </c>
      <c r="E20" s="404" t="n">
        <f aca="false">E$59*$B$20</f>
        <v>0</v>
      </c>
      <c r="F20" s="404" t="n">
        <f aca="false">F$59*$B$20</f>
        <v>0</v>
      </c>
      <c r="G20" s="405" t="n">
        <f aca="false">G$59*$B$20</f>
        <v>0</v>
      </c>
      <c r="H20" s="2"/>
      <c r="I20" s="20" t="str">
        <f aca="false">A20</f>
        <v>Customer Activation Fees</v>
      </c>
      <c r="J20" s="66" t="n">
        <f aca="false">B20</f>
        <v>0</v>
      </c>
      <c r="K20" s="47"/>
      <c r="L20" s="406" t="n">
        <f aca="false">D20</f>
        <v>0</v>
      </c>
      <c r="M20" s="406" t="n">
        <f aca="false">E20</f>
        <v>0</v>
      </c>
      <c r="N20" s="406" t="n">
        <f aca="false">F20</f>
        <v>0</v>
      </c>
      <c r="O20" s="407" t="n">
        <f aca="false">G20</f>
        <v>0</v>
      </c>
      <c r="P20" s="2"/>
      <c r="Q20" s="20" t="str">
        <f aca="false">I20</f>
        <v>Customer Activation Fees</v>
      </c>
      <c r="R20" s="66" t="n">
        <f aca="false">J20</f>
        <v>0</v>
      </c>
      <c r="S20" s="47"/>
      <c r="T20" s="406" t="n">
        <f aca="false">L20</f>
        <v>0</v>
      </c>
      <c r="U20" s="406" t="n">
        <f aca="false">M20</f>
        <v>0</v>
      </c>
      <c r="V20" s="406" t="n">
        <f aca="false">N20</f>
        <v>0</v>
      </c>
      <c r="W20" s="407" t="n">
        <f aca="false">O20</f>
        <v>0</v>
      </c>
      <c r="X20" s="2"/>
      <c r="Y20" s="20" t="str">
        <f aca="false">Q20</f>
        <v>Customer Activation Fees</v>
      </c>
      <c r="Z20" s="66" t="n">
        <f aca="false">R20</f>
        <v>0</v>
      </c>
      <c r="AA20" s="47"/>
      <c r="AB20" s="406" t="n">
        <f aca="false">T20</f>
        <v>0</v>
      </c>
      <c r="AC20" s="406" t="n">
        <f aca="false">U20</f>
        <v>0</v>
      </c>
      <c r="AD20" s="406" t="n">
        <f aca="false">V20</f>
        <v>0</v>
      </c>
      <c r="AE20" s="407" t="n">
        <f aca="false">W20</f>
        <v>0</v>
      </c>
      <c r="AF20" s="2"/>
      <c r="AG20" s="61" t="s">
        <v>493</v>
      </c>
      <c r="AH20" s="7"/>
      <c r="AI20" s="7"/>
      <c r="AJ20" s="396"/>
      <c r="AK20" s="396"/>
      <c r="AL20" s="396"/>
      <c r="AM20" s="397"/>
      <c r="AN20" s="2"/>
      <c r="AO20" s="20" t="s">
        <v>494</v>
      </c>
      <c r="AP20" s="7"/>
      <c r="AQ20" s="7"/>
      <c r="AR20" s="326" t="n">
        <f aca="false">$AO$16*AR19</f>
        <v>232.47352632</v>
      </c>
      <c r="AS20" s="326" t="n">
        <f aca="false">$AO$16*AS19</f>
        <v>348.71028948</v>
      </c>
      <c r="AT20" s="326" t="n">
        <f aca="false">$AO$16*AT19</f>
        <v>523.06543422</v>
      </c>
      <c r="AU20" s="605" t="n">
        <f aca="false">$AO$16*AU19</f>
        <v>784.59815133</v>
      </c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customFormat="false" ht="12.75" hidden="false" customHeight="true" outlineLevel="0" collapsed="false">
      <c r="A21" s="392" t="s">
        <v>173</v>
      </c>
      <c r="B21" s="395"/>
      <c r="C21" s="395"/>
      <c r="D21" s="408" t="n">
        <f aca="false">SUM(D11:D20)</f>
        <v>6091597.582659</v>
      </c>
      <c r="E21" s="408" t="n">
        <f aca="false">SUM(E11:E20)</f>
        <v>8607216.495721</v>
      </c>
      <c r="F21" s="408" t="n">
        <f aca="false">SUM(F11:F20)</f>
        <v>12480463.918911</v>
      </c>
      <c r="G21" s="409" t="n">
        <f aca="false">SUM(G11:G20)</f>
        <v>18096672.68432</v>
      </c>
      <c r="H21" s="2"/>
      <c r="I21" s="392" t="str">
        <f aca="false">A21</f>
        <v>Total Revenue</v>
      </c>
      <c r="J21" s="91"/>
      <c r="K21" s="91"/>
      <c r="L21" s="410" t="n">
        <f aca="false">D21</f>
        <v>6091597.582659</v>
      </c>
      <c r="M21" s="410" t="n">
        <f aca="false">E21</f>
        <v>8607216.495721</v>
      </c>
      <c r="N21" s="410" t="n">
        <f aca="false">F21</f>
        <v>12480463.918911</v>
      </c>
      <c r="O21" s="411" t="n">
        <f aca="false">G21</f>
        <v>18096672.68432</v>
      </c>
      <c r="P21" s="2"/>
      <c r="Q21" s="392" t="str">
        <f aca="false">I21</f>
        <v>Total Revenue</v>
      </c>
      <c r="R21" s="91"/>
      <c r="S21" s="91"/>
      <c r="T21" s="410" t="n">
        <f aca="false">L21</f>
        <v>6091597.582659</v>
      </c>
      <c r="U21" s="410" t="n">
        <f aca="false">M21</f>
        <v>8607216.495721</v>
      </c>
      <c r="V21" s="410" t="n">
        <f aca="false">N21</f>
        <v>12480463.918911</v>
      </c>
      <c r="W21" s="411" t="n">
        <f aca="false">O21</f>
        <v>18096672.68432</v>
      </c>
      <c r="X21" s="2"/>
      <c r="Y21" s="392" t="str">
        <f aca="false">Q21</f>
        <v>Total Revenue</v>
      </c>
      <c r="Z21" s="91"/>
      <c r="AA21" s="91"/>
      <c r="AB21" s="410" t="n">
        <f aca="false">T21</f>
        <v>6091597.582659</v>
      </c>
      <c r="AC21" s="410" t="n">
        <f aca="false">U21</f>
        <v>8607216.495721</v>
      </c>
      <c r="AD21" s="410" t="n">
        <f aca="false">V21</f>
        <v>12480463.918911</v>
      </c>
      <c r="AE21" s="411" t="n">
        <f aca="false">W21</f>
        <v>18096672.68432</v>
      </c>
      <c r="AF21" s="2"/>
      <c r="AG21" s="20" t="s">
        <v>495</v>
      </c>
      <c r="AH21" s="606"/>
      <c r="AI21" s="606"/>
      <c r="AJ21" s="66" t="n">
        <f aca="false">AJ17*$AJ$13</f>
        <v>3104318.56677966</v>
      </c>
      <c r="AK21" s="66" t="n">
        <f aca="false">AK17*$AJ$13</f>
        <v>4501261.92183051</v>
      </c>
      <c r="AL21" s="66" t="n">
        <f aca="false">AL17*$AJ$13</f>
        <v>6526829.78665424</v>
      </c>
      <c r="AM21" s="77" t="n">
        <f aca="false">AM17*$AJ$13</f>
        <v>9463903.19064865</v>
      </c>
      <c r="AN21" s="2"/>
      <c r="AO21" s="20" t="s">
        <v>496</v>
      </c>
      <c r="AP21" s="604"/>
      <c r="AQ21" s="604"/>
      <c r="AR21" s="325" t="n">
        <f aca="false">AR20*12</f>
        <v>2789.68231584</v>
      </c>
      <c r="AS21" s="325" t="n">
        <f aca="false">AS20*12</f>
        <v>4184.52347376</v>
      </c>
      <c r="AT21" s="325" t="n">
        <f aca="false">AT20*12</f>
        <v>6276.78521064</v>
      </c>
      <c r="AU21" s="593" t="n">
        <f aca="false">AU20*12</f>
        <v>9415.17781596</v>
      </c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customFormat="false" ht="12.75" hidden="false" customHeight="true" outlineLevel="0" collapsed="false">
      <c r="A22" s="392"/>
      <c r="B22" s="412"/>
      <c r="C22" s="412"/>
      <c r="D22" s="408"/>
      <c r="E22" s="408"/>
      <c r="F22" s="408"/>
      <c r="G22" s="409"/>
      <c r="H22" s="2"/>
      <c r="I22" s="56"/>
      <c r="J22" s="2"/>
      <c r="K22" s="2"/>
      <c r="L22" s="2"/>
      <c r="M22" s="2"/>
      <c r="N22" s="2"/>
      <c r="O22" s="25"/>
      <c r="P22" s="2"/>
      <c r="Q22" s="138"/>
      <c r="R22" s="2"/>
      <c r="S22" s="2"/>
      <c r="T22" s="413"/>
      <c r="U22" s="413"/>
      <c r="V22" s="413"/>
      <c r="W22" s="397"/>
      <c r="X22" s="2"/>
      <c r="Y22" s="20"/>
      <c r="Z22" s="2"/>
      <c r="AA22" s="414"/>
      <c r="AB22" s="66"/>
      <c r="AC22" s="66"/>
      <c r="AD22" s="66"/>
      <c r="AE22" s="77"/>
      <c r="AF22" s="2"/>
      <c r="AG22" s="20" t="s">
        <v>497</v>
      </c>
      <c r="AH22" s="606"/>
      <c r="AI22" s="606"/>
      <c r="AJ22" s="607" t="n">
        <f aca="false">AJ18*$AJ$10</f>
        <v>599900</v>
      </c>
      <c r="AK22" s="607" t="n">
        <f aca="false">AK18*$AJ$10</f>
        <v>629895</v>
      </c>
      <c r="AL22" s="607" t="n">
        <f aca="false">AL18*$AJ$10</f>
        <v>913347.75</v>
      </c>
      <c r="AM22" s="608" t="n">
        <f aca="false">AM18*$AJ$10</f>
        <v>1324354.2375</v>
      </c>
      <c r="AN22" s="2"/>
      <c r="AO22" s="20"/>
      <c r="AP22" s="604"/>
      <c r="AQ22" s="604"/>
      <c r="AR22" s="66"/>
      <c r="AS22" s="66"/>
      <c r="AT22" s="66"/>
      <c r="AU22" s="77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customFormat="false" ht="12.75" hidden="false" customHeight="true" outlineLevel="0" collapsed="false">
      <c r="A23" s="61" t="s">
        <v>264</v>
      </c>
      <c r="B23" s="395" t="s">
        <v>254</v>
      </c>
      <c r="C23" s="395" t="s">
        <v>255</v>
      </c>
      <c r="D23" s="396"/>
      <c r="E23" s="396"/>
      <c r="F23" s="396"/>
      <c r="G23" s="397"/>
      <c r="H23" s="2"/>
      <c r="I23" s="185" t="s">
        <v>265</v>
      </c>
      <c r="J23" s="395" t="s">
        <v>254</v>
      </c>
      <c r="K23" s="395" t="s">
        <v>255</v>
      </c>
      <c r="L23" s="408"/>
      <c r="M23" s="408"/>
      <c r="N23" s="408"/>
      <c r="O23" s="409"/>
      <c r="P23" s="2"/>
      <c r="Q23" s="61" t="s">
        <v>244</v>
      </c>
      <c r="R23" s="395" t="s">
        <v>254</v>
      </c>
      <c r="S23" s="395" t="s">
        <v>255</v>
      </c>
      <c r="T23" s="396"/>
      <c r="U23" s="396"/>
      <c r="V23" s="396"/>
      <c r="W23" s="397"/>
      <c r="X23" s="2"/>
      <c r="Y23" s="61" t="s">
        <v>266</v>
      </c>
      <c r="Z23" s="395" t="s">
        <v>254</v>
      </c>
      <c r="AA23" s="395" t="s">
        <v>255</v>
      </c>
      <c r="AB23" s="396"/>
      <c r="AC23" s="396"/>
      <c r="AD23" s="396"/>
      <c r="AE23" s="397"/>
      <c r="AF23" s="2"/>
      <c r="AG23" s="20" t="s">
        <v>173</v>
      </c>
      <c r="AH23" s="606"/>
      <c r="AI23" s="606"/>
      <c r="AJ23" s="66" t="n">
        <f aca="false">AJ21+AJ22</f>
        <v>3704218.56677966</v>
      </c>
      <c r="AK23" s="66" t="n">
        <f aca="false">AK21+AK22</f>
        <v>5131156.92183051</v>
      </c>
      <c r="AL23" s="66" t="n">
        <f aca="false">AL21+AL22</f>
        <v>7440177.53665424</v>
      </c>
      <c r="AM23" s="77" t="n">
        <f aca="false">AM21+AM22</f>
        <v>10788257.4281487</v>
      </c>
      <c r="AN23" s="2"/>
      <c r="AO23" s="61" t="s">
        <v>498</v>
      </c>
      <c r="AP23" s="398"/>
      <c r="AQ23" s="33"/>
      <c r="AR23" s="326"/>
      <c r="AS23" s="326"/>
      <c r="AT23" s="326"/>
      <c r="AU23" s="605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customFormat="false" ht="12.75" hidden="false" customHeight="true" outlineLevel="0" collapsed="false">
      <c r="A24" s="20" t="s">
        <v>268</v>
      </c>
      <c r="B24" s="400"/>
      <c r="C24" s="401" t="n">
        <v>0.15</v>
      </c>
      <c r="D24" s="396" t="n">
        <f aca="false">$C$24*D65</f>
        <v>472243.029668755</v>
      </c>
      <c r="E24" s="396" t="n">
        <f aca="false">$C$24*E65</f>
        <v>684752.393019695</v>
      </c>
      <c r="F24" s="396" t="n">
        <f aca="false">$C$24*F65</f>
        <v>992890.969878557</v>
      </c>
      <c r="G24" s="397" t="n">
        <f aca="false">$C$24*G65</f>
        <v>1439691.90632391</v>
      </c>
      <c r="H24" s="2"/>
      <c r="I24" s="20" t="str">
        <f aca="false">A24</f>
        <v>Dealer Product 1 Commission</v>
      </c>
      <c r="J24" s="47"/>
      <c r="K24" s="401" t="n">
        <f aca="false">C24</f>
        <v>0.15</v>
      </c>
      <c r="L24" s="398" t="n">
        <f aca="false">D24</f>
        <v>472243.029668755</v>
      </c>
      <c r="M24" s="398" t="n">
        <f aca="false">E24</f>
        <v>684752.393019695</v>
      </c>
      <c r="N24" s="398" t="n">
        <f aca="false">F24</f>
        <v>992890.969878557</v>
      </c>
      <c r="O24" s="399" t="n">
        <f aca="false">G24</f>
        <v>1439691.90632391</v>
      </c>
      <c r="P24" s="2"/>
      <c r="Q24" s="20" t="str">
        <f aca="false">I24</f>
        <v>Dealer Product 1 Commission</v>
      </c>
      <c r="R24" s="47"/>
      <c r="S24" s="401" t="n">
        <f aca="false">K24</f>
        <v>0.15</v>
      </c>
      <c r="T24" s="398" t="n">
        <f aca="false">L24</f>
        <v>472243.029668755</v>
      </c>
      <c r="U24" s="398" t="n">
        <f aca="false">M24</f>
        <v>684752.393019695</v>
      </c>
      <c r="V24" s="398" t="n">
        <f aca="false">N24</f>
        <v>992890.969878557</v>
      </c>
      <c r="W24" s="399" t="n">
        <f aca="false">O24</f>
        <v>1439691.90632391</v>
      </c>
      <c r="X24" s="2"/>
      <c r="Y24" s="20" t="s">
        <v>269</v>
      </c>
      <c r="Z24" s="3"/>
      <c r="AA24" s="415" t="n">
        <f aca="false">Inputs!V24</f>
        <v>0.0968904814320429</v>
      </c>
      <c r="AB24" s="398" t="n">
        <f aca="false">$AA24*D67</f>
        <v>2700261.70402164</v>
      </c>
      <c r="AC24" s="398" t="n">
        <f aca="false">$AA24*E67</f>
        <v>3915379.47165494</v>
      </c>
      <c r="AD24" s="398" t="n">
        <f aca="false">$AA24*F67</f>
        <v>5677300.23312455</v>
      </c>
      <c r="AE24" s="399" t="n">
        <f aca="false">$AA24*G67</f>
        <v>8232085.33817593</v>
      </c>
      <c r="AF24" s="2"/>
      <c r="AG24" s="20"/>
      <c r="AH24" s="606"/>
      <c r="AI24" s="606"/>
      <c r="AJ24" s="66"/>
      <c r="AK24" s="66"/>
      <c r="AL24" s="66"/>
      <c r="AM24" s="77"/>
      <c r="AN24" s="2"/>
      <c r="AO24" s="609"/>
      <c r="AP24" s="610" t="str">
        <f aca="false">"Being a "&amp;AG2&amp;" dealer will bring an estimated $"&amp;ROUNDDOWN(AR20,0)&amp;" per month of additional RESIDUAL income plus Customer Equipment sales profit."</f>
        <v>Being a Brand 2 dealer will bring an estimated $232 per month of additional RESIDUAL income plus Customer Equipment sales profit.</v>
      </c>
      <c r="AQ24" s="610"/>
      <c r="AR24" s="610"/>
      <c r="AS24" s="610"/>
      <c r="AT24" s="610"/>
      <c r="AU24" s="610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customFormat="false" ht="12.75" hidden="false" customHeight="true" outlineLevel="0" collapsed="false">
      <c r="A25" s="20" t="s">
        <v>499</v>
      </c>
      <c r="B25" s="2"/>
      <c r="C25" s="416" t="n">
        <f aca="false">Inputs!AJ136</f>
        <v>9.44932946259895</v>
      </c>
      <c r="D25" s="396" t="n">
        <f aca="false">$C$25*12*D8</f>
        <v>1133919.53551187</v>
      </c>
      <c r="E25" s="396" t="n">
        <f aca="false">$C$25*12*E8</f>
        <v>1644183.32649222</v>
      </c>
      <c r="F25" s="396" t="n">
        <f aca="false">$C$25*12*F8</f>
        <v>2384065.82341371</v>
      </c>
      <c r="G25" s="397" t="n">
        <f aca="false">$C$25*12*G8</f>
        <v>3456895.44394989</v>
      </c>
      <c r="H25" s="2"/>
      <c r="I25" s="20" t="s">
        <v>271</v>
      </c>
      <c r="J25" s="2"/>
      <c r="K25" s="144" t="n">
        <f aca="false">Inputs!C2</f>
        <v>5.27</v>
      </c>
      <c r="L25" s="396" t="n">
        <f aca="false">$K$25*12*L8</f>
        <v>632400</v>
      </c>
      <c r="M25" s="396" t="n">
        <f aca="false">$K$25*12*M8</f>
        <v>916980</v>
      </c>
      <c r="N25" s="396" t="n">
        <f aca="false">$K$25*12*N8</f>
        <v>1329621</v>
      </c>
      <c r="O25" s="397" t="n">
        <f aca="false">$K$25*12*O8</f>
        <v>1927950.45</v>
      </c>
      <c r="P25" s="2"/>
      <c r="Q25" s="20" t="str">
        <f aca="false">Inputs!B3</f>
        <v>Per service component 1</v>
      </c>
      <c r="R25" s="3"/>
      <c r="S25" s="66" t="n">
        <f aca="false">Inputs!C3</f>
        <v>3.37</v>
      </c>
      <c r="T25" s="66" t="n">
        <f aca="false">$S$25*12*T8</f>
        <v>404400</v>
      </c>
      <c r="U25" s="66" t="n">
        <f aca="false">$S$25*12*U8</f>
        <v>586380</v>
      </c>
      <c r="V25" s="66" t="n">
        <f aca="false">$S$25*12*V8</f>
        <v>850251</v>
      </c>
      <c r="W25" s="77" t="n">
        <f aca="false">$S$25*12*W8</f>
        <v>1232863.95</v>
      </c>
      <c r="X25" s="2"/>
      <c r="Y25" s="20" t="s">
        <v>272</v>
      </c>
      <c r="Z25" s="3"/>
      <c r="AA25" s="415" t="n">
        <f aca="false">Inputs!V25</f>
        <v>0.0558455110893591</v>
      </c>
      <c r="AB25" s="398" t="n">
        <f aca="false">$AA25*D68</f>
        <v>632063.16188408</v>
      </c>
      <c r="AC25" s="398" t="n">
        <f aca="false">$AA25*E68</f>
        <v>916491.585206603</v>
      </c>
      <c r="AD25" s="398" t="n">
        <f aca="false">$AA25*F68</f>
        <v>1328912.79835411</v>
      </c>
      <c r="AE25" s="399" t="n">
        <f aca="false">$AA25*G68</f>
        <v>1926923.55727839</v>
      </c>
      <c r="AF25" s="2"/>
      <c r="AG25" s="61" t="s">
        <v>500</v>
      </c>
      <c r="AH25" s="606"/>
      <c r="AI25" s="606"/>
      <c r="AJ25" s="66"/>
      <c r="AK25" s="66"/>
      <c r="AL25" s="66"/>
      <c r="AM25" s="77"/>
      <c r="AN25" s="2"/>
      <c r="AO25" s="609"/>
      <c r="AP25" s="610"/>
      <c r="AQ25" s="610"/>
      <c r="AR25" s="610"/>
      <c r="AS25" s="610"/>
      <c r="AT25" s="610"/>
      <c r="AU25" s="610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customFormat="false" ht="13.5" hidden="false" customHeight="true" outlineLevel="0" collapsed="false">
      <c r="A26" s="20" t="s">
        <v>273</v>
      </c>
      <c r="B26" s="417"/>
      <c r="C26" s="416" t="n">
        <f aca="false">Inputs!AL136</f>
        <v>11.5355068</v>
      </c>
      <c r="D26" s="396" t="n">
        <f aca="false">$C$26*12*D8</f>
        <v>1384260.816</v>
      </c>
      <c r="E26" s="396" t="n">
        <f aca="false">$C$26*12*E8</f>
        <v>2007178.1832</v>
      </c>
      <c r="F26" s="396" t="n">
        <f aca="false">$C$26*12*F8</f>
        <v>2910408.36564</v>
      </c>
      <c r="G26" s="397" t="n">
        <f aca="false">$C$26*12*G8</f>
        <v>4220092.130178</v>
      </c>
      <c r="H26" s="2"/>
      <c r="I26" s="20" t="s">
        <v>274</v>
      </c>
      <c r="J26" s="400"/>
      <c r="K26" s="416" t="n">
        <f aca="false">Inputs!C8</f>
        <v>0.0641</v>
      </c>
      <c r="L26" s="396" t="n">
        <f aca="false">$K26*Inputs!$C$23*12*L8*(L$8/$L$8)</f>
        <v>1761468</v>
      </c>
      <c r="M26" s="396" t="n">
        <f aca="false">$K26*Inputs!$C$23*12*L8*(M$8/$L$8)</f>
        <v>2554128.6</v>
      </c>
      <c r="N26" s="396" t="n">
        <f aca="false">$K26*Inputs!$C$23*12*L8*(N$8/$L$8)</f>
        <v>3703486.47</v>
      </c>
      <c r="O26" s="396" t="n">
        <f aca="false">$K26*Inputs!$C$23*12*L8*(O$8/$L$8)</f>
        <v>5370055.382</v>
      </c>
      <c r="P26" s="2"/>
      <c r="Q26" s="20" t="str">
        <f aca="false">Inputs!B4</f>
        <v>Per service component 2</v>
      </c>
      <c r="R26" s="3"/>
      <c r="S26" s="66" t="n">
        <f aca="false">Inputs!C4</f>
        <v>0.35</v>
      </c>
      <c r="T26" s="66" t="n">
        <f aca="false">$S$26*12*T8</f>
        <v>42000</v>
      </c>
      <c r="U26" s="66" t="n">
        <f aca="false">$S$26*12*U8</f>
        <v>60900</v>
      </c>
      <c r="V26" s="66" t="n">
        <f aca="false">$S$26*12*V8</f>
        <v>88305</v>
      </c>
      <c r="W26" s="77" t="n">
        <f aca="false">$S$26*12*W8</f>
        <v>128042.25</v>
      </c>
      <c r="X26" s="2"/>
      <c r="Y26" s="20" t="s">
        <v>275</v>
      </c>
      <c r="Z26" s="3"/>
      <c r="AA26" s="415" t="n">
        <f aca="false">Inputs!V26</f>
        <v>0.0358455110893591</v>
      </c>
      <c r="AB26" s="406" t="n">
        <f aca="false">$AA26*D69</f>
        <v>75.2511493392998</v>
      </c>
      <c r="AC26" s="406" t="n">
        <f aca="false">$AA26*E69</f>
        <v>109.114166547361</v>
      </c>
      <c r="AD26" s="406" t="n">
        <f aca="false">$AA26*F69</f>
        <v>158.215541454244</v>
      </c>
      <c r="AE26" s="407" t="n">
        <f aca="false">$AA26*G69</f>
        <v>229.412535135538</v>
      </c>
      <c r="AF26" s="2"/>
      <c r="AG26" s="20" t="s">
        <v>501</v>
      </c>
      <c r="AH26" s="606"/>
      <c r="AI26" s="606"/>
      <c r="AJ26" s="66" t="n">
        <f aca="false">AJ21*$AH$13</f>
        <v>465647.785016949</v>
      </c>
      <c r="AK26" s="66" t="n">
        <f aca="false">AK21*$AH$13</f>
        <v>675189.288274577</v>
      </c>
      <c r="AL26" s="66" t="n">
        <f aca="false">AL21*$AH$13</f>
        <v>979024.467998136</v>
      </c>
      <c r="AM26" s="77" t="n">
        <f aca="false">AM21*$AH$13</f>
        <v>1419585.4785973</v>
      </c>
      <c r="AN26" s="2"/>
      <c r="AO26" s="68" t="str">
        <f aca="false">"* Total Subscribers includes a monthly subscriber churn rate of "&amp;100*Inputs!E9&amp;"%"</f>
        <v>* Total Subscribers includes a monthly subscriber churn rate of 5%</v>
      </c>
      <c r="AP26" s="86"/>
      <c r="AQ26" s="86"/>
      <c r="AR26" s="86"/>
      <c r="AS26" s="86"/>
      <c r="AT26" s="86"/>
      <c r="AU26" s="69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customFormat="false" ht="12.75" hidden="false" customHeight="true" outlineLevel="0" collapsed="false">
      <c r="A27" s="20" t="s">
        <v>276</v>
      </c>
      <c r="B27" s="7"/>
      <c r="C27" s="416" t="n">
        <f aca="false">Inputs!AM136</f>
        <v>3.72</v>
      </c>
      <c r="D27" s="396" t="n">
        <f aca="false">$C$27*12*D8</f>
        <v>446400</v>
      </c>
      <c r="E27" s="396" t="n">
        <f aca="false">$C$27*12*E8</f>
        <v>647280</v>
      </c>
      <c r="F27" s="396" t="n">
        <f aca="false">$C$27*12*F8</f>
        <v>938556</v>
      </c>
      <c r="G27" s="397" t="n">
        <f aca="false">$C$27*12*G8</f>
        <v>1360906.2</v>
      </c>
      <c r="H27" s="2"/>
      <c r="I27" s="20" t="s">
        <v>277</v>
      </c>
      <c r="J27" s="417"/>
      <c r="K27" s="416" t="n">
        <f aca="false">Inputs!C9</f>
        <v>0.04</v>
      </c>
      <c r="L27" s="396" t="n">
        <f aca="false">$K27*Inputs!$C$24*12*$L8*(L$8/$L$8)</f>
        <v>446400</v>
      </c>
      <c r="M27" s="396" t="n">
        <f aca="false">$K27*Inputs!$C$24*12*$L8*(M$8/$L$8)</f>
        <v>647280</v>
      </c>
      <c r="N27" s="396" t="n">
        <f aca="false">$K27*Inputs!$C$24*12*$L8*(N$8/$L$8)</f>
        <v>938556</v>
      </c>
      <c r="O27" s="396" t="n">
        <f aca="false">$K27*Inputs!$C$24*12*$L8*(O$8/$L$8)</f>
        <v>1360906.2</v>
      </c>
      <c r="P27" s="2"/>
      <c r="Q27" s="20" t="str">
        <f aca="false">Inputs!B5</f>
        <v>Payment Type Cost</v>
      </c>
      <c r="R27" s="3"/>
      <c r="S27" s="66" t="n">
        <f aca="false">Inputs!C5</f>
        <v>0.58</v>
      </c>
      <c r="T27" s="66" t="n">
        <f aca="false">$S$27*12*T8</f>
        <v>69600</v>
      </c>
      <c r="U27" s="66" t="n">
        <f aca="false">$S$27*12*U8</f>
        <v>100920</v>
      </c>
      <c r="V27" s="66" t="n">
        <f aca="false">$S$27*12*V8</f>
        <v>146334</v>
      </c>
      <c r="W27" s="77" t="n">
        <f aca="false">$S$27*12*W8</f>
        <v>212184.3</v>
      </c>
      <c r="X27" s="2"/>
      <c r="Y27" s="392" t="str">
        <f aca="false">Q40</f>
        <v>Total Costs</v>
      </c>
      <c r="Z27" s="418"/>
      <c r="AA27" s="418"/>
      <c r="AB27" s="413" t="n">
        <f aca="false">SUM(AB24:AB26)</f>
        <v>3332400.11705506</v>
      </c>
      <c r="AC27" s="413" t="n">
        <f aca="false">SUM(AC24:AC26)</f>
        <v>4831980.17102809</v>
      </c>
      <c r="AD27" s="413" t="n">
        <f aca="false">SUM(AD24:AD26)</f>
        <v>7006371.24702011</v>
      </c>
      <c r="AE27" s="419" t="n">
        <f aca="false">SUM(AE24:AE26)</f>
        <v>10159238.3079895</v>
      </c>
      <c r="AF27" s="2"/>
      <c r="AG27" s="20" t="s">
        <v>502</v>
      </c>
      <c r="AH27" s="606"/>
      <c r="AI27" s="606"/>
      <c r="AJ27" s="607" t="n">
        <f aca="false">AJ7*$AL$10</f>
        <v>35900</v>
      </c>
      <c r="AK27" s="607" t="n">
        <f aca="false">AK7*$AL$10</f>
        <v>52055</v>
      </c>
      <c r="AL27" s="607" t="n">
        <f aca="false">AL7*$AL$10</f>
        <v>75479.75</v>
      </c>
      <c r="AM27" s="608" t="n">
        <f aca="false">AM7*$AL$10</f>
        <v>109445.6375</v>
      </c>
      <c r="AN27" s="2"/>
      <c r="AO27" s="47"/>
      <c r="AP27" s="604"/>
      <c r="AQ27" s="604"/>
      <c r="AR27" s="66"/>
      <c r="AS27" s="66"/>
      <c r="AT27" s="66"/>
      <c r="AU27" s="66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customFormat="false" ht="13.5" hidden="false" customHeight="true" outlineLevel="0" collapsed="false">
      <c r="A28" s="20" t="s">
        <v>278</v>
      </c>
      <c r="B28" s="7"/>
      <c r="C28" s="416" t="n">
        <f aca="false">Inputs!AN136</f>
        <v>0.00414</v>
      </c>
      <c r="D28" s="396" t="n">
        <f aca="false">$C$28*12*D8</f>
        <v>496.8</v>
      </c>
      <c r="E28" s="396" t="n">
        <f aca="false">$C$28*12*E8</f>
        <v>720.36</v>
      </c>
      <c r="F28" s="396" t="n">
        <f aca="false">$C$28*12*F8</f>
        <v>1044.522</v>
      </c>
      <c r="G28" s="397" t="n">
        <f aca="false">$C$28*12*G8</f>
        <v>1514.5569</v>
      </c>
      <c r="H28" s="2"/>
      <c r="I28" s="20" t="s">
        <v>279</v>
      </c>
      <c r="J28" s="7"/>
      <c r="K28" s="416" t="n">
        <f aca="false">Inputs!M23</f>
        <v>0.02</v>
      </c>
      <c r="L28" s="396" t="n">
        <f aca="false">$K28*Inputs!$C$25*12*$L8*(L$8/$L$8)</f>
        <v>496.8</v>
      </c>
      <c r="M28" s="396" t="n">
        <f aca="false">$K28*Inputs!$C$25*12*$L8*(M$8/$L$8)</f>
        <v>720.36</v>
      </c>
      <c r="N28" s="396" t="n">
        <f aca="false">$K28*Inputs!$C$25*12*$L8*(N$8/$L$8)</f>
        <v>1044.522</v>
      </c>
      <c r="O28" s="396" t="n">
        <f aca="false">$K28*Inputs!$C$25*12*$L8*(O$8/$L$8)</f>
        <v>1514.5569</v>
      </c>
      <c r="P28" s="2"/>
      <c r="Q28" s="20" t="str">
        <f aca="false">Inputs!B6</f>
        <v>Customer Care</v>
      </c>
      <c r="R28" s="3"/>
      <c r="S28" s="66" t="n">
        <f aca="false">Inputs!C6</f>
        <v>0.97</v>
      </c>
      <c r="T28" s="66" t="n">
        <f aca="false">$S$28*12*T8</f>
        <v>116400</v>
      </c>
      <c r="U28" s="66" t="n">
        <f aca="false">$S$28*12*U8</f>
        <v>168780</v>
      </c>
      <c r="V28" s="66" t="n">
        <f aca="false">$S$28*12*V8</f>
        <v>244731</v>
      </c>
      <c r="W28" s="77" t="n">
        <f aca="false">$S$28*12*W8</f>
        <v>354859.95</v>
      </c>
      <c r="X28" s="2"/>
      <c r="Y28" s="56"/>
      <c r="Z28" s="62"/>
      <c r="AA28" s="62"/>
      <c r="AB28" s="396"/>
      <c r="AC28" s="396"/>
      <c r="AD28" s="396"/>
      <c r="AE28" s="397"/>
      <c r="AF28" s="2"/>
      <c r="AG28" s="20" t="s">
        <v>503</v>
      </c>
      <c r="AH28" s="7"/>
      <c r="AI28" s="416"/>
      <c r="AJ28" s="66" t="n">
        <f aca="false">SUM(AJ26:AJ27)</f>
        <v>501547.785016949</v>
      </c>
      <c r="AK28" s="66" t="n">
        <f aca="false">SUM(AK26:AK27)</f>
        <v>727244.288274577</v>
      </c>
      <c r="AL28" s="66" t="n">
        <f aca="false">SUM(AL26:AL27)</f>
        <v>1054504.21799814</v>
      </c>
      <c r="AM28" s="77" t="n">
        <f aca="false">SUM(AM26:AM27)</f>
        <v>1529031.1160973</v>
      </c>
      <c r="AN28" s="2"/>
      <c r="AO28" s="47"/>
      <c r="AP28" s="7"/>
      <c r="AQ28" s="416"/>
      <c r="AR28" s="66"/>
      <c r="AS28" s="66"/>
      <c r="AT28" s="66"/>
      <c r="AU28" s="66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customFormat="false" ht="13.5" hidden="false" customHeight="true" outlineLevel="0" collapsed="false">
      <c r="A29" s="20" t="s">
        <v>280</v>
      </c>
      <c r="B29" s="7"/>
      <c r="C29" s="416" t="n">
        <f aca="false">Inputs!AO136</f>
        <v>1.035936265</v>
      </c>
      <c r="D29" s="396" t="n">
        <f aca="false">$C$29*12*D8</f>
        <v>124312.3518</v>
      </c>
      <c r="E29" s="396" t="n">
        <f aca="false">$C$29*12*E8</f>
        <v>180252.91011</v>
      </c>
      <c r="F29" s="396" t="n">
        <f aca="false">$C$29*12*F8</f>
        <v>261366.7196595</v>
      </c>
      <c r="G29" s="397" t="n">
        <f aca="false">$C$29*12*G8</f>
        <v>378981.743506275</v>
      </c>
      <c r="H29" s="2"/>
      <c r="I29" s="20" t="str">
        <f aca="false">A29</f>
        <v>Product 1 "Breakage" Cost</v>
      </c>
      <c r="J29" s="7"/>
      <c r="K29" s="416" t="n">
        <f aca="false">C29</f>
        <v>1.035936265</v>
      </c>
      <c r="L29" s="398" t="n">
        <f aca="false">D29</f>
        <v>124312.3518</v>
      </c>
      <c r="M29" s="398" t="n">
        <f aca="false">E29</f>
        <v>180252.91011</v>
      </c>
      <c r="N29" s="398" t="n">
        <f aca="false">F29</f>
        <v>261366.7196595</v>
      </c>
      <c r="O29" s="399" t="n">
        <f aca="false">G29</f>
        <v>378981.743506275</v>
      </c>
      <c r="P29" s="2"/>
      <c r="Q29" s="20" t="str">
        <f aca="false">Inputs!B8</f>
        <v>Product 1</v>
      </c>
      <c r="R29" s="2"/>
      <c r="S29" s="416" t="n">
        <f aca="false">Inputs!C8</f>
        <v>0.0641</v>
      </c>
      <c r="T29" s="398" t="n">
        <f aca="false">$S29*D67</f>
        <v>1786416.711627</v>
      </c>
      <c r="U29" s="398" t="n">
        <f aca="false">$S29*E67</f>
        <v>2590304.232404</v>
      </c>
      <c r="V29" s="398" t="n">
        <f aca="false">$S29*F67</f>
        <v>3755941.136473</v>
      </c>
      <c r="W29" s="399" t="n">
        <f aca="false">$S29*G67</f>
        <v>5446114.647982</v>
      </c>
      <c r="X29" s="2"/>
      <c r="Y29" s="61" t="str">
        <f aca="false">Q42</f>
        <v>Total EBITDA</v>
      </c>
      <c r="Z29" s="2"/>
      <c r="AA29" s="2"/>
      <c r="AB29" s="420" t="n">
        <f aca="false">AB21-AB27</f>
        <v>2759197.46560394</v>
      </c>
      <c r="AC29" s="421" t="n">
        <f aca="false">AC21-AC27</f>
        <v>3775236.32469291</v>
      </c>
      <c r="AD29" s="421" t="n">
        <f aca="false">AD21-AD27</f>
        <v>5474092.67189089</v>
      </c>
      <c r="AE29" s="422" t="n">
        <f aca="false">AE21-AE27</f>
        <v>7937434.37633055</v>
      </c>
      <c r="AF29" s="2"/>
      <c r="AG29" s="20"/>
      <c r="AH29" s="7"/>
      <c r="AI29" s="416"/>
      <c r="AJ29" s="325"/>
      <c r="AK29" s="325"/>
      <c r="AL29" s="325"/>
      <c r="AM29" s="593"/>
      <c r="AN29" s="2"/>
      <c r="AO29" s="47" t="s">
        <v>504</v>
      </c>
      <c r="AP29" s="611" t="n">
        <v>1</v>
      </c>
      <c r="AQ29" s="416"/>
      <c r="AR29" s="325"/>
      <c r="AS29" s="325"/>
      <c r="AT29" s="325"/>
      <c r="AU29" s="325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customFormat="false" ht="12.75" hidden="false" customHeight="true" outlineLevel="0" collapsed="false">
      <c r="A30" s="20" t="s">
        <v>281</v>
      </c>
      <c r="B30" s="7"/>
      <c r="C30" s="416" t="n">
        <f aca="false">Inputs!AP136</f>
        <v>0</v>
      </c>
      <c r="D30" s="402" t="n">
        <f aca="false">$C$30*12*D8</f>
        <v>0</v>
      </c>
      <c r="E30" s="402" t="n">
        <f aca="false">$C$30*12*E8</f>
        <v>0</v>
      </c>
      <c r="F30" s="402" t="n">
        <f aca="false">$C$30*12*F8</f>
        <v>0</v>
      </c>
      <c r="G30" s="403" t="n">
        <f aca="false">$C$30*12*G8</f>
        <v>0</v>
      </c>
      <c r="H30" s="2"/>
      <c r="I30" s="20" t="str">
        <f aca="false">A30</f>
        <v>Product 2 "Breakage" Cost</v>
      </c>
      <c r="J30" s="7"/>
      <c r="K30" s="416" t="n">
        <f aca="false">C30</f>
        <v>0</v>
      </c>
      <c r="L30" s="398" t="n">
        <f aca="false">D30</f>
        <v>0</v>
      </c>
      <c r="M30" s="398" t="n">
        <f aca="false">E30</f>
        <v>0</v>
      </c>
      <c r="N30" s="398" t="n">
        <f aca="false">F30</f>
        <v>0</v>
      </c>
      <c r="O30" s="399" t="n">
        <f aca="false">G30</f>
        <v>0</v>
      </c>
      <c r="P30" s="2"/>
      <c r="Q30" s="20" t="str">
        <f aca="false">Inputs!B9</f>
        <v>Product 2</v>
      </c>
      <c r="R30" s="2"/>
      <c r="S30" s="416" t="n">
        <f aca="false">Inputs!C9</f>
        <v>0.04</v>
      </c>
      <c r="T30" s="398" t="n">
        <f aca="false">$S30*D68</f>
        <v>452722.6268</v>
      </c>
      <c r="U30" s="398" t="n">
        <f aca="false">$S30*E68</f>
        <v>656447.8092</v>
      </c>
      <c r="V30" s="398" t="n">
        <f aca="false">$S30*F68</f>
        <v>951849.3232</v>
      </c>
      <c r="W30" s="399" t="n">
        <f aca="false">$S30*G68</f>
        <v>1380181.5184</v>
      </c>
      <c r="X30" s="2"/>
      <c r="Y30" s="20"/>
      <c r="Z30" s="2"/>
      <c r="AA30" s="2"/>
      <c r="AB30" s="418"/>
      <c r="AC30" s="418"/>
      <c r="AD30" s="418"/>
      <c r="AE30" s="423"/>
      <c r="AF30" s="2"/>
      <c r="AG30" s="61" t="s">
        <v>491</v>
      </c>
      <c r="AH30" s="2"/>
      <c r="AI30" s="6"/>
      <c r="AJ30" s="27" t="str">
        <f aca="false">AJ6</f>
        <v>Year 1</v>
      </c>
      <c r="AK30" s="27" t="str">
        <f aca="false">AK6</f>
        <v>Year 2</v>
      </c>
      <c r="AL30" s="27" t="str">
        <f aca="false">AL6</f>
        <v>Year 3</v>
      </c>
      <c r="AM30" s="28" t="str">
        <f aca="false">AM6</f>
        <v>Year 4</v>
      </c>
      <c r="AN30" s="2"/>
      <c r="AO30" s="148" t="s">
        <v>20</v>
      </c>
      <c r="AP30" s="612" t="n">
        <v>59.99</v>
      </c>
      <c r="AQ30" s="6"/>
      <c r="AR30" s="27"/>
      <c r="AS30" s="27"/>
      <c r="AT30" s="27"/>
      <c r="AU30" s="27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customFormat="false" ht="12.75" hidden="false" customHeight="true" outlineLevel="0" collapsed="false">
      <c r="A31" s="20" t="s">
        <v>134</v>
      </c>
      <c r="B31" s="7"/>
      <c r="C31" s="416" t="n">
        <f aca="false">Inputs!AQ136</f>
        <v>0</v>
      </c>
      <c r="D31" s="396" t="n">
        <f aca="false">$C$31*12*D8</f>
        <v>0</v>
      </c>
      <c r="E31" s="396" t="n">
        <f aca="false">$C$31*12*E8</f>
        <v>0</v>
      </c>
      <c r="F31" s="396" t="n">
        <f aca="false">$C$31*12*F8</f>
        <v>0</v>
      </c>
      <c r="G31" s="397" t="n">
        <f aca="false">$C$31*12*G8</f>
        <v>0</v>
      </c>
      <c r="H31" s="2"/>
      <c r="I31" s="20" t="str">
        <f aca="false">A31</f>
        <v>Daily Charge</v>
      </c>
      <c r="J31" s="7"/>
      <c r="K31" s="416" t="n">
        <f aca="false">C31</f>
        <v>0</v>
      </c>
      <c r="L31" s="398" t="n">
        <f aca="false">D31</f>
        <v>0</v>
      </c>
      <c r="M31" s="398" t="n">
        <f aca="false">E31</f>
        <v>0</v>
      </c>
      <c r="N31" s="398" t="n">
        <f aca="false">F31</f>
        <v>0</v>
      </c>
      <c r="O31" s="399" t="n">
        <f aca="false">G31</f>
        <v>0</v>
      </c>
      <c r="P31" s="2"/>
      <c r="Q31" s="20" t="s">
        <v>282</v>
      </c>
      <c r="R31" s="2"/>
      <c r="S31" s="416" t="n">
        <f aca="false">Inputs!M23</f>
        <v>0.02</v>
      </c>
      <c r="T31" s="398" t="n">
        <f aca="false">$S31*D69</f>
        <v>41.98637266</v>
      </c>
      <c r="U31" s="398" t="n">
        <f aca="false">$S31*E69</f>
        <v>60.88024036</v>
      </c>
      <c r="V31" s="398" t="n">
        <f aca="false">$S31*F69</f>
        <v>88.2763485</v>
      </c>
      <c r="W31" s="399" t="n">
        <f aca="false">$S31*G69</f>
        <v>128.00070534</v>
      </c>
      <c r="X31" s="2"/>
      <c r="Y31" s="56"/>
      <c r="Z31" s="2"/>
      <c r="AA31" s="2"/>
      <c r="AB31" s="93" t="s">
        <v>283</v>
      </c>
      <c r="AC31" s="93"/>
      <c r="AD31" s="93"/>
      <c r="AE31" s="93"/>
      <c r="AF31" s="2"/>
      <c r="AG31" s="20" t="s">
        <v>492</v>
      </c>
      <c r="AH31" s="2"/>
      <c r="AI31" s="2"/>
      <c r="AJ31" s="100" t="n">
        <f aca="false">AP29*4*12</f>
        <v>48</v>
      </c>
      <c r="AK31" s="100" t="n">
        <f aca="false">AJ31*Inputs!$E$11</f>
        <v>72</v>
      </c>
      <c r="AL31" s="100" t="n">
        <f aca="false">AK31*Inputs!$E$11</f>
        <v>108</v>
      </c>
      <c r="AM31" s="142" t="n">
        <f aca="false">AL31*Inputs!$E$11</f>
        <v>162</v>
      </c>
      <c r="AN31" s="2"/>
      <c r="AO31" s="47"/>
      <c r="AP31" s="2"/>
      <c r="AQ31" s="2"/>
      <c r="AR31" s="100"/>
      <c r="AS31" s="100"/>
      <c r="AT31" s="100"/>
      <c r="AU31" s="100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customFormat="false" ht="12.75" hidden="false" customHeight="true" outlineLevel="0" collapsed="false">
      <c r="A32" s="20" t="s">
        <v>38</v>
      </c>
      <c r="B32" s="7"/>
      <c r="C32" s="401" t="n">
        <v>0</v>
      </c>
      <c r="D32" s="396" t="n">
        <v>0</v>
      </c>
      <c r="E32" s="396" t="n">
        <v>0</v>
      </c>
      <c r="F32" s="396" t="n">
        <v>0</v>
      </c>
      <c r="G32" s="397" t="n">
        <v>0</v>
      </c>
      <c r="H32" s="2"/>
      <c r="I32" s="20" t="str">
        <f aca="false">A32</f>
        <v>Product 4</v>
      </c>
      <c r="J32" s="7"/>
      <c r="K32" s="416" t="n">
        <f aca="false">C32</f>
        <v>0</v>
      </c>
      <c r="L32" s="398" t="n">
        <f aca="false">D32</f>
        <v>0</v>
      </c>
      <c r="M32" s="398" t="n">
        <f aca="false">E32</f>
        <v>0</v>
      </c>
      <c r="N32" s="398" t="n">
        <f aca="false">F32</f>
        <v>0</v>
      </c>
      <c r="O32" s="399" t="n">
        <f aca="false">G32</f>
        <v>0</v>
      </c>
      <c r="P32" s="2"/>
      <c r="Q32" s="20" t="str">
        <f aca="false">Inputs!B12</f>
        <v>Monthly Flat Fee</v>
      </c>
      <c r="R32" s="2"/>
      <c r="S32" s="416" t="n">
        <f aca="false">Inputs!C12</f>
        <v>1450</v>
      </c>
      <c r="T32" s="396" t="n">
        <f aca="false">$S$32*12</f>
        <v>17400</v>
      </c>
      <c r="U32" s="396" t="n">
        <f aca="false">$S$32*12</f>
        <v>17400</v>
      </c>
      <c r="V32" s="396" t="n">
        <f aca="false">$S$32*12</f>
        <v>17400</v>
      </c>
      <c r="W32" s="397" t="n">
        <f aca="false">$S$32*12</f>
        <v>17400</v>
      </c>
      <c r="X32" s="2"/>
      <c r="Y32" s="56"/>
      <c r="Z32" s="148"/>
      <c r="AA32" s="2"/>
      <c r="AB32" s="101" t="s">
        <v>284</v>
      </c>
      <c r="AC32" s="4" t="s">
        <v>285</v>
      </c>
      <c r="AD32" s="4" t="s">
        <v>286</v>
      </c>
      <c r="AE32" s="93" t="s">
        <v>178</v>
      </c>
      <c r="AF32" s="2"/>
      <c r="AG32" s="56"/>
      <c r="AH32" s="2"/>
      <c r="AI32" s="2"/>
      <c r="AJ32" s="2"/>
      <c r="AK32" s="2"/>
      <c r="AL32" s="2"/>
      <c r="AM32" s="25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customFormat="false" ht="12.75" hidden="false" customHeight="true" outlineLevel="0" collapsed="false">
      <c r="A33" s="20" t="s">
        <v>287</v>
      </c>
      <c r="B33" s="7" t="n">
        <f aca="false">Inputs!C19</f>
        <v>56.4</v>
      </c>
      <c r="C33" s="2"/>
      <c r="D33" s="396" t="n">
        <f aca="false">$B$33*D59</f>
        <v>564000</v>
      </c>
      <c r="E33" s="396" t="n">
        <f aca="false">$B$33*E59</f>
        <v>592200</v>
      </c>
      <c r="F33" s="396" t="n">
        <f aca="false">$B$33*F59</f>
        <v>858690</v>
      </c>
      <c r="G33" s="397" t="n">
        <f aca="false">$B$33*G59</f>
        <v>1245100.5</v>
      </c>
      <c r="H33" s="2"/>
      <c r="I33" s="20" t="str">
        <f aca="false">A33</f>
        <v>Customer Equipment Cost</v>
      </c>
      <c r="J33" s="7" t="n">
        <f aca="false">B33</f>
        <v>56.4</v>
      </c>
      <c r="K33" s="416"/>
      <c r="L33" s="398" t="n">
        <f aca="false">D33</f>
        <v>564000</v>
      </c>
      <c r="M33" s="398" t="n">
        <f aca="false">E33</f>
        <v>592200</v>
      </c>
      <c r="N33" s="398" t="n">
        <f aca="false">F33</f>
        <v>858690</v>
      </c>
      <c r="O33" s="399" t="n">
        <f aca="false">G33</f>
        <v>1245100.5</v>
      </c>
      <c r="P33" s="2"/>
      <c r="Q33" s="20" t="str">
        <f aca="false">Inputs!B14</f>
        <v>Activation Cost 1</v>
      </c>
      <c r="R33" s="66" t="n">
        <f aca="false">Inputs!C14</f>
        <v>0</v>
      </c>
      <c r="S33" s="416"/>
      <c r="T33" s="396" t="n">
        <f aca="false">$R$33*D$59</f>
        <v>0</v>
      </c>
      <c r="U33" s="396" t="n">
        <f aca="false">$R$33*E$59</f>
        <v>0</v>
      </c>
      <c r="V33" s="396" t="n">
        <f aca="false">$R$33*F$59</f>
        <v>0</v>
      </c>
      <c r="W33" s="397" t="n">
        <f aca="false">$R$33*G$59</f>
        <v>0</v>
      </c>
      <c r="X33" s="2"/>
      <c r="Y33" s="185"/>
      <c r="Z33" s="2"/>
      <c r="AA33" s="2"/>
      <c r="AB33" s="101" t="n">
        <f aca="false">SUM(AB21:AE21)/SUM(AB8:AE8)/12</f>
        <v>49.63733513</v>
      </c>
      <c r="AC33" s="101" t="n">
        <f aca="false">SUM(AB27:AE27)/SUM(AB8:AE8)/12</f>
        <v>27.7700009791234</v>
      </c>
      <c r="AD33" s="101" t="n">
        <f aca="false">AB33-AC33</f>
        <v>21.8673341508766</v>
      </c>
      <c r="AE33" s="193" t="n">
        <f aca="false">AD33/AB33</f>
        <v>0.440542065636806</v>
      </c>
      <c r="AF33" s="2"/>
      <c r="AG33" s="20" t="s">
        <v>505</v>
      </c>
      <c r="AH33" s="2"/>
      <c r="AI33" s="2"/>
      <c r="AJ33" s="7" t="n">
        <f aca="false">(AJ26/AJ7)*AJ31</f>
        <v>2235.10936808136</v>
      </c>
      <c r="AK33" s="7" t="n">
        <f aca="false">(AK26/AK7)*AK31</f>
        <v>3352.66405212204</v>
      </c>
      <c r="AL33" s="7" t="n">
        <f aca="false">(AL26/AL7)*AL31</f>
        <v>5028.99607818305</v>
      </c>
      <c r="AM33" s="35" t="n">
        <f aca="false">(AM26/AM7)*AM31</f>
        <v>7543.49411727458</v>
      </c>
      <c r="AN33" s="2"/>
      <c r="AO33" s="47"/>
      <c r="AP33" s="2"/>
      <c r="AQ33" s="2"/>
      <c r="AR33" s="7"/>
      <c r="AS33" s="7"/>
      <c r="AT33" s="7"/>
      <c r="AU33" s="7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customFormat="false" ht="12.75" hidden="false" customHeight="true" outlineLevel="0" collapsed="false">
      <c r="A34" s="20" t="s">
        <v>288</v>
      </c>
      <c r="B34" s="7" t="n">
        <f aca="false">Inputs!C13-Inputs!C19</f>
        <v>23.23</v>
      </c>
      <c r="C34" s="7"/>
      <c r="D34" s="396" t="n">
        <f aca="false">$B$34*D59</f>
        <v>232300</v>
      </c>
      <c r="E34" s="396" t="n">
        <f aca="false">$B$34*E59</f>
        <v>243915</v>
      </c>
      <c r="F34" s="396" t="n">
        <f aca="false">$B$34*F59</f>
        <v>353676.75</v>
      </c>
      <c r="G34" s="397" t="n">
        <f aca="false">$B$34*G59</f>
        <v>512831.2875</v>
      </c>
      <c r="H34" s="2"/>
      <c r="I34" s="20" t="str">
        <f aca="false">A34</f>
        <v>Other Activation Costs</v>
      </c>
      <c r="J34" s="7" t="n">
        <f aca="false">B34</f>
        <v>23.23</v>
      </c>
      <c r="K34" s="416"/>
      <c r="L34" s="398" t="n">
        <f aca="false">D34</f>
        <v>232300</v>
      </c>
      <c r="M34" s="398" t="n">
        <f aca="false">E34</f>
        <v>243915</v>
      </c>
      <c r="N34" s="398" t="n">
        <f aca="false">F34</f>
        <v>353676.75</v>
      </c>
      <c r="O34" s="399" t="n">
        <f aca="false">G34</f>
        <v>512831.2875</v>
      </c>
      <c r="P34" s="2"/>
      <c r="Q34" s="20" t="str">
        <f aca="false">Inputs!B15</f>
        <v>Activation Cost 2</v>
      </c>
      <c r="R34" s="66" t="n">
        <f aca="false">Inputs!C15</f>
        <v>3</v>
      </c>
      <c r="S34" s="2"/>
      <c r="T34" s="396" t="n">
        <f aca="false">$R$34*D$59</f>
        <v>30000</v>
      </c>
      <c r="U34" s="396" t="n">
        <f aca="false">$R$34*E$59</f>
        <v>31500</v>
      </c>
      <c r="V34" s="396" t="n">
        <f aca="false">$R$34*F$59</f>
        <v>45675</v>
      </c>
      <c r="W34" s="397" t="n">
        <f aca="false">$R$34*G$59</f>
        <v>66228.75</v>
      </c>
      <c r="X34" s="2"/>
      <c r="Y34" s="185"/>
      <c r="Z34" s="7"/>
      <c r="AA34" s="2"/>
      <c r="AB34" s="2"/>
      <c r="AC34" s="2"/>
      <c r="AD34" s="2"/>
      <c r="AE34" s="25"/>
      <c r="AF34" s="2"/>
      <c r="AG34" s="20" t="s">
        <v>506</v>
      </c>
      <c r="AH34" s="395"/>
      <c r="AI34" s="395"/>
      <c r="AJ34" s="607" t="n">
        <f aca="false">AJ31*$AL$10</f>
        <v>172.32</v>
      </c>
      <c r="AK34" s="607" t="n">
        <f aca="false">AK31*$AL$10</f>
        <v>258.48</v>
      </c>
      <c r="AL34" s="607" t="n">
        <f aca="false">AL31*$AL$10</f>
        <v>387.72</v>
      </c>
      <c r="AM34" s="608" t="n">
        <f aca="false">AM31*$AL$10</f>
        <v>581.58</v>
      </c>
      <c r="AN34" s="2"/>
      <c r="AO34" s="47"/>
      <c r="AP34" s="395"/>
      <c r="AQ34" s="395"/>
      <c r="AR34" s="66"/>
      <c r="AS34" s="66"/>
      <c r="AT34" s="66"/>
      <c r="AU34" s="66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customFormat="false" ht="12.75" hidden="false" customHeight="true" outlineLevel="0" collapsed="false">
      <c r="A35" s="61" t="s">
        <v>289</v>
      </c>
      <c r="B35" s="7"/>
      <c r="C35" s="7"/>
      <c r="D35" s="396"/>
      <c r="E35" s="396"/>
      <c r="F35" s="396"/>
      <c r="G35" s="397"/>
      <c r="H35" s="2"/>
      <c r="I35" s="61" t="str">
        <f aca="false">A35</f>
        <v>Fixed Costs</v>
      </c>
      <c r="J35" s="7"/>
      <c r="K35" s="416"/>
      <c r="L35" s="398"/>
      <c r="M35" s="398"/>
      <c r="N35" s="398"/>
      <c r="O35" s="399"/>
      <c r="P35" s="2"/>
      <c r="Q35" s="20" t="str">
        <f aca="false">Inputs!B16</f>
        <v>Component</v>
      </c>
      <c r="R35" s="66" t="n">
        <f aca="false">Inputs!C16</f>
        <v>3.81</v>
      </c>
      <c r="S35" s="3"/>
      <c r="T35" s="396" t="n">
        <f aca="false">$R$35*D$59</f>
        <v>38100</v>
      </c>
      <c r="U35" s="396" t="n">
        <f aca="false">$R$35*E$59</f>
        <v>40005</v>
      </c>
      <c r="V35" s="396" t="n">
        <f aca="false">$R$35*F$59</f>
        <v>58007.25</v>
      </c>
      <c r="W35" s="397" t="n">
        <f aca="false">$R$35*G$59</f>
        <v>84110.5125</v>
      </c>
      <c r="X35" s="2"/>
      <c r="Y35" s="235" t="str">
        <f aca="false">Q48</f>
        <v>*Subscriber number assumes a monthly customer churn rate of 5%</v>
      </c>
      <c r="Z35" s="2"/>
      <c r="AA35" s="2"/>
      <c r="AB35" s="2"/>
      <c r="AC35" s="2"/>
      <c r="AD35" s="2"/>
      <c r="AE35" s="25"/>
      <c r="AF35" s="2"/>
      <c r="AG35" s="20" t="s">
        <v>507</v>
      </c>
      <c r="AH35" s="7"/>
      <c r="AI35" s="416"/>
      <c r="AJ35" s="66" t="n">
        <f aca="false">SUM(AJ33:AJ34)</f>
        <v>2407.42936808136</v>
      </c>
      <c r="AK35" s="66" t="n">
        <f aca="false">SUM(AK33:AK34)</f>
        <v>3611.14405212204</v>
      </c>
      <c r="AL35" s="66" t="n">
        <f aca="false">SUM(AL33:AL34)</f>
        <v>5416.71607818306</v>
      </c>
      <c r="AM35" s="77" t="n">
        <f aca="false">SUM(AM33:AM34)</f>
        <v>8125.07411727458</v>
      </c>
      <c r="AN35" s="2"/>
      <c r="AO35" s="47"/>
      <c r="AP35" s="7"/>
      <c r="AQ35" s="416"/>
      <c r="AR35" s="66"/>
      <c r="AS35" s="66"/>
      <c r="AT35" s="66"/>
      <c r="AU35" s="66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customFormat="false" ht="12.75" hidden="false" customHeight="true" outlineLevel="0" collapsed="false">
      <c r="A36" s="20" t="s">
        <v>508</v>
      </c>
      <c r="B36" s="7"/>
      <c r="C36" s="7" t="n">
        <f aca="false">Inputs!C12</f>
        <v>1450</v>
      </c>
      <c r="D36" s="396" t="n">
        <f aca="false">$C$36*12</f>
        <v>17400</v>
      </c>
      <c r="E36" s="396" t="n">
        <f aca="false">$C$36*12</f>
        <v>17400</v>
      </c>
      <c r="F36" s="396" t="n">
        <f aca="false">$C$36*12</f>
        <v>17400</v>
      </c>
      <c r="G36" s="397" t="n">
        <f aca="false">$C$36*12</f>
        <v>17400</v>
      </c>
      <c r="H36" s="2"/>
      <c r="I36" s="20" t="str">
        <f aca="false">A36</f>
        <v>Flat Operational Fee</v>
      </c>
      <c r="J36" s="7"/>
      <c r="K36" s="416" t="n">
        <f aca="false">C36</f>
        <v>1450</v>
      </c>
      <c r="L36" s="398" t="n">
        <f aca="false">D36</f>
        <v>17400</v>
      </c>
      <c r="M36" s="398" t="n">
        <f aca="false">E36</f>
        <v>17400</v>
      </c>
      <c r="N36" s="398" t="n">
        <f aca="false">F36</f>
        <v>17400</v>
      </c>
      <c r="O36" s="399" t="n">
        <f aca="false">G36</f>
        <v>17400</v>
      </c>
      <c r="P36" s="2"/>
      <c r="Q36" s="20" t="str">
        <f aca="false">Inputs!B17</f>
        <v>Dealer Commission</v>
      </c>
      <c r="R36" s="66" t="n">
        <f aca="false">Inputs!C17</f>
        <v>15</v>
      </c>
      <c r="S36" s="2"/>
      <c r="T36" s="396" t="n">
        <f aca="false">$R$36*D$59</f>
        <v>150000</v>
      </c>
      <c r="U36" s="396" t="n">
        <f aca="false">$R$36*E$59</f>
        <v>157500</v>
      </c>
      <c r="V36" s="396" t="n">
        <f aca="false">$R$36*F$59</f>
        <v>228375</v>
      </c>
      <c r="W36" s="397" t="n">
        <f aca="false">$R$36*G$59</f>
        <v>331143.75</v>
      </c>
      <c r="X36" s="2"/>
      <c r="Y36" s="424" t="str">
        <f aca="false">Q49</f>
        <v>** Based on a weighted average projection of six rate plans and an underlying average consumption rate of 229 Product 1 minutes per user, 93 Product 2 messages per user and 0.207 units of data per user per month.</v>
      </c>
      <c r="Z36" s="424"/>
      <c r="AA36" s="424"/>
      <c r="AB36" s="424"/>
      <c r="AC36" s="424"/>
      <c r="AD36" s="424"/>
      <c r="AE36" s="424"/>
      <c r="AF36" s="2"/>
      <c r="AG36" s="20"/>
      <c r="AH36" s="7"/>
      <c r="AI36" s="416"/>
      <c r="AJ36" s="66"/>
      <c r="AK36" s="66"/>
      <c r="AL36" s="66"/>
      <c r="AM36" s="77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customFormat="false" ht="13.5" hidden="false" customHeight="true" outlineLevel="0" collapsed="false">
      <c r="A37" s="20"/>
      <c r="B37" s="7"/>
      <c r="C37" s="7"/>
      <c r="D37" s="404"/>
      <c r="E37" s="404"/>
      <c r="F37" s="404"/>
      <c r="G37" s="405"/>
      <c r="H37" s="2"/>
      <c r="I37" s="20"/>
      <c r="J37" s="7"/>
      <c r="K37" s="7"/>
      <c r="L37" s="404"/>
      <c r="M37" s="404"/>
      <c r="N37" s="404"/>
      <c r="O37" s="405"/>
      <c r="P37" s="2"/>
      <c r="Q37" s="20" t="str">
        <f aca="false">Inputs!B18</f>
        <v>Payment Processing</v>
      </c>
      <c r="R37" s="66" t="n">
        <f aca="false">Inputs!C18</f>
        <v>1.42</v>
      </c>
      <c r="S37" s="3"/>
      <c r="T37" s="396" t="n">
        <f aca="false">$R$37*D$59</f>
        <v>14200</v>
      </c>
      <c r="U37" s="396" t="n">
        <f aca="false">$R$37*E$59</f>
        <v>14910</v>
      </c>
      <c r="V37" s="396" t="n">
        <f aca="false">$R$37*F$59</f>
        <v>21619.5</v>
      </c>
      <c r="W37" s="397" t="n">
        <f aca="false">$R$37*G$59</f>
        <v>31348.275</v>
      </c>
      <c r="X37" s="2"/>
      <c r="Y37" s="424"/>
      <c r="Z37" s="424"/>
      <c r="AA37" s="424"/>
      <c r="AB37" s="424"/>
      <c r="AC37" s="424"/>
      <c r="AD37" s="424"/>
      <c r="AE37" s="424"/>
      <c r="AF37" s="2"/>
      <c r="AG37" s="61" t="s">
        <v>498</v>
      </c>
      <c r="AH37" s="398"/>
      <c r="AI37" s="33"/>
      <c r="AJ37" s="326"/>
      <c r="AK37" s="326"/>
      <c r="AL37" s="326"/>
      <c r="AM37" s="605"/>
      <c r="AN37" s="2"/>
      <c r="AO37" s="143"/>
      <c r="AP37" s="398"/>
      <c r="AQ37" s="33"/>
      <c r="AR37" s="326"/>
      <c r="AS37" s="326"/>
      <c r="AT37" s="326"/>
      <c r="AU37" s="326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customFormat="false" ht="12.75" hidden="false" customHeight="true" outlineLevel="0" collapsed="false">
      <c r="A38" s="392" t="s">
        <v>174</v>
      </c>
      <c r="B38" s="7"/>
      <c r="C38" s="7"/>
      <c r="D38" s="413" t="n">
        <f aca="false">SUM(D23:D37)</f>
        <v>4375332.53298063</v>
      </c>
      <c r="E38" s="413" t="n">
        <f aca="false">SUM(E23:E33,E35:E37)</f>
        <v>5773967.17282191</v>
      </c>
      <c r="F38" s="413" t="n">
        <f aca="false">SUM(F23:F33,F35:F37)</f>
        <v>8364422.40059177</v>
      </c>
      <c r="G38" s="419" t="n">
        <f aca="false">SUM(G23:G33,G35:G37)</f>
        <v>12120582.4808581</v>
      </c>
      <c r="H38" s="2"/>
      <c r="I38" s="392" t="s">
        <v>174</v>
      </c>
      <c r="J38" s="7"/>
      <c r="K38" s="7"/>
      <c r="L38" s="413" t="n">
        <f aca="false">SUM(L24:L35,L36:L37)</f>
        <v>4251020.18146875</v>
      </c>
      <c r="M38" s="413" t="n">
        <f aca="false">SUM(M24:M35,M36:M37)</f>
        <v>5837629.26312969</v>
      </c>
      <c r="N38" s="413" t="n">
        <f aca="false">SUM(N24:N35,N36:N37)</f>
        <v>8456732.43153806</v>
      </c>
      <c r="O38" s="419" t="n">
        <f aca="false">SUM(O24:O35,O36:O37)</f>
        <v>12254432.0262302</v>
      </c>
      <c r="P38" s="2"/>
      <c r="Q38" s="20" t="str">
        <f aca="false">Inputs!B19</f>
        <v>Customer Equipment</v>
      </c>
      <c r="R38" s="66" t="n">
        <f aca="false">Inputs!C19</f>
        <v>56.4</v>
      </c>
      <c r="S38" s="3"/>
      <c r="T38" s="396" t="n">
        <f aca="false">$R$38*D$59</f>
        <v>564000</v>
      </c>
      <c r="U38" s="396" t="n">
        <f aca="false">$R$38*E$59</f>
        <v>592200</v>
      </c>
      <c r="V38" s="396" t="n">
        <f aca="false">$R$38*F$59</f>
        <v>858690</v>
      </c>
      <c r="W38" s="397" t="n">
        <f aca="false">$R$38*G$59</f>
        <v>1245100.5</v>
      </c>
      <c r="X38" s="2"/>
      <c r="Y38" s="2"/>
      <c r="Z38" s="2"/>
      <c r="AA38" s="2"/>
      <c r="AB38" s="2"/>
      <c r="AC38" s="2"/>
      <c r="AD38" s="2"/>
      <c r="AE38" s="2"/>
      <c r="AF38" s="2"/>
      <c r="AG38" s="609"/>
      <c r="AH38" s="610" t="str">
        <f aca="false">"Being a "&amp;AG2&amp;" dealer will bring an estimated $"&amp;ROUNDDOWN(AJ33/12,2)&amp;" per month of additional RESIDUAL income plus $"&amp;AJ34&amp;" per year in direct Customer Equipment sales."</f>
        <v>Being a Brand 2 dealer will bring an estimated $186.25 per month of additional RESIDUAL income plus $172.32 per year in direct Customer Equipment sales.</v>
      </c>
      <c r="AI38" s="610"/>
      <c r="AJ38" s="610"/>
      <c r="AK38" s="610"/>
      <c r="AL38" s="610"/>
      <c r="AM38" s="610"/>
      <c r="AN38" s="2"/>
      <c r="AO38" s="604"/>
      <c r="AP38" s="604"/>
      <c r="AQ38" s="604"/>
      <c r="AR38" s="604"/>
      <c r="AS38" s="604"/>
      <c r="AT38" s="604"/>
      <c r="AU38" s="604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customFormat="false" ht="13.5" hidden="false" customHeight="true" outlineLevel="0" collapsed="false">
      <c r="A39" s="56"/>
      <c r="B39" s="7"/>
      <c r="C39" s="7"/>
      <c r="D39" s="396"/>
      <c r="E39" s="396"/>
      <c r="F39" s="396"/>
      <c r="G39" s="397"/>
      <c r="H39" s="2"/>
      <c r="I39" s="56"/>
      <c r="J39" s="7"/>
      <c r="K39" s="7"/>
      <c r="L39" s="396"/>
      <c r="M39" s="396"/>
      <c r="N39" s="396"/>
      <c r="O39" s="397"/>
      <c r="P39" s="2"/>
      <c r="Q39" s="20"/>
      <c r="R39" s="47"/>
      <c r="S39" s="3"/>
      <c r="T39" s="396"/>
      <c r="U39" s="396"/>
      <c r="V39" s="396"/>
      <c r="W39" s="397"/>
      <c r="X39" s="2"/>
      <c r="Y39" s="2"/>
      <c r="Z39" s="2"/>
      <c r="AA39" s="2"/>
      <c r="AB39" s="2"/>
      <c r="AC39" s="2"/>
      <c r="AD39" s="2"/>
      <c r="AE39" s="2"/>
      <c r="AF39" s="2"/>
      <c r="AG39" s="609"/>
      <c r="AH39" s="610"/>
      <c r="AI39" s="610"/>
      <c r="AJ39" s="610"/>
      <c r="AK39" s="610"/>
      <c r="AL39" s="610"/>
      <c r="AM39" s="610"/>
      <c r="AN39" s="2"/>
      <c r="AO39" s="604"/>
      <c r="AP39" s="604"/>
      <c r="AQ39" s="604"/>
      <c r="AR39" s="604"/>
      <c r="AS39" s="604"/>
      <c r="AT39" s="604"/>
      <c r="AU39" s="604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customFormat="false" ht="13.5" hidden="false" customHeight="true" outlineLevel="0" collapsed="false">
      <c r="A40" s="185" t="s">
        <v>291</v>
      </c>
      <c r="B40" s="7"/>
      <c r="C40" s="7"/>
      <c r="D40" s="420" t="n">
        <f aca="false">D21-D38</f>
        <v>1716265.04967837</v>
      </c>
      <c r="E40" s="421" t="n">
        <f aca="false">E21-E38</f>
        <v>2833249.32289909</v>
      </c>
      <c r="F40" s="421" t="n">
        <f aca="false">F21-F38</f>
        <v>4116041.51831923</v>
      </c>
      <c r="G40" s="422" t="n">
        <f aca="false">G21-G38</f>
        <v>5976090.20346193</v>
      </c>
      <c r="H40" s="2"/>
      <c r="I40" s="185" t="s">
        <v>291</v>
      </c>
      <c r="J40" s="7"/>
      <c r="K40" s="7"/>
      <c r="L40" s="420" t="n">
        <f aca="false">L21-L38</f>
        <v>1840577.40119024</v>
      </c>
      <c r="M40" s="421" t="n">
        <f aca="false">M21-M38</f>
        <v>2769587.2325913</v>
      </c>
      <c r="N40" s="421" t="n">
        <f aca="false">N21-N38</f>
        <v>4023731.48737294</v>
      </c>
      <c r="O40" s="422" t="n">
        <f aca="false">O21-O38</f>
        <v>5842240.65808982</v>
      </c>
      <c r="P40" s="2"/>
      <c r="Q40" s="392" t="str">
        <f aca="false">I38</f>
        <v>Total Costs</v>
      </c>
      <c r="R40" s="418"/>
      <c r="S40" s="418"/>
      <c r="T40" s="413" t="n">
        <f aca="false">SUM(T24:T39)</f>
        <v>4157524.35446842</v>
      </c>
      <c r="U40" s="413" t="n">
        <f aca="false">SUM(U24:U37)</f>
        <v>5109860.31486405</v>
      </c>
      <c r="V40" s="413" t="n">
        <f aca="false">SUM(V24:V37)</f>
        <v>7401467.45590006</v>
      </c>
      <c r="W40" s="419" t="n">
        <f aca="false">SUM(W24:W37)</f>
        <v>10724297.8109113</v>
      </c>
      <c r="X40" s="2"/>
      <c r="Y40" s="2"/>
      <c r="Z40" s="2"/>
      <c r="AA40" s="2"/>
      <c r="AB40" s="2"/>
      <c r="AC40" s="2"/>
      <c r="AD40" s="2"/>
      <c r="AE40" s="2"/>
      <c r="AF40" s="2"/>
      <c r="AG40" s="68" t="str">
        <f aca="false">"* Total Subscribers includes a monthly subscriber churn rate of "&amp;100*Inputs!E9&amp;"%"</f>
        <v>* Total Subscribers includes a monthly subscriber churn rate of 5%</v>
      </c>
      <c r="AH40" s="86"/>
      <c r="AI40" s="86"/>
      <c r="AJ40" s="86"/>
      <c r="AK40" s="86"/>
      <c r="AL40" s="86"/>
      <c r="AM40" s="6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customFormat="false" ht="13.5" hidden="false" customHeight="true" outlineLevel="0" collapsed="false">
      <c r="A41" s="56"/>
      <c r="B41" s="2"/>
      <c r="C41" s="2"/>
      <c r="D41" s="2"/>
      <c r="E41" s="2"/>
      <c r="F41" s="2"/>
      <c r="G41" s="25"/>
      <c r="H41" s="2"/>
      <c r="I41" s="56"/>
      <c r="J41" s="2"/>
      <c r="K41" s="2"/>
      <c r="L41" s="2"/>
      <c r="M41" s="2"/>
      <c r="N41" s="2"/>
      <c r="O41" s="25"/>
      <c r="P41" s="2"/>
      <c r="Q41" s="56"/>
      <c r="R41" s="62"/>
      <c r="S41" s="62"/>
      <c r="T41" s="396"/>
      <c r="U41" s="396"/>
      <c r="V41" s="396"/>
      <c r="W41" s="397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customFormat="false" ht="13.5" hidden="false" customHeight="true" outlineLevel="0" collapsed="false">
      <c r="A42" s="56"/>
      <c r="B42" s="2"/>
      <c r="C42" s="2"/>
      <c r="D42" s="93" t="s">
        <v>292</v>
      </c>
      <c r="E42" s="93"/>
      <c r="F42" s="93"/>
      <c r="G42" s="93"/>
      <c r="H42" s="2"/>
      <c r="I42" s="56"/>
      <c r="J42" s="2"/>
      <c r="K42" s="2"/>
      <c r="L42" s="93" t="s">
        <v>292</v>
      </c>
      <c r="M42" s="93"/>
      <c r="N42" s="93"/>
      <c r="O42" s="93"/>
      <c r="P42" s="2"/>
      <c r="Q42" s="61" t="str">
        <f aca="false">I40</f>
        <v>Total EBITDA</v>
      </c>
      <c r="R42" s="2"/>
      <c r="S42" s="2"/>
      <c r="T42" s="420" t="n">
        <f aca="false">T21-T40</f>
        <v>1934073.22819058</v>
      </c>
      <c r="U42" s="421" t="n">
        <f aca="false">U21-U40</f>
        <v>3497356.18085694</v>
      </c>
      <c r="V42" s="421" t="n">
        <f aca="false">V21-V40</f>
        <v>5078996.46301094</v>
      </c>
      <c r="W42" s="422" t="n">
        <f aca="false">W21-W40</f>
        <v>7372374.87340875</v>
      </c>
      <c r="X42" s="2"/>
      <c r="Y42" s="2"/>
      <c r="Z42" s="2"/>
      <c r="AA42" s="2"/>
      <c r="AB42" s="2"/>
      <c r="AC42" s="2"/>
      <c r="AD42" s="2"/>
      <c r="AE42" s="2"/>
      <c r="AF42" s="2"/>
      <c r="AG42" s="400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customFormat="false" ht="12.75" hidden="false" customHeight="true" outlineLevel="0" collapsed="false">
      <c r="A43" s="56"/>
      <c r="B43" s="2"/>
      <c r="C43" s="2"/>
      <c r="D43" s="101" t="s">
        <v>284</v>
      </c>
      <c r="E43" s="4" t="s">
        <v>285</v>
      </c>
      <c r="F43" s="4" t="s">
        <v>286</v>
      </c>
      <c r="G43" s="93" t="s">
        <v>178</v>
      </c>
      <c r="H43" s="2"/>
      <c r="I43" s="56"/>
      <c r="J43" s="2"/>
      <c r="K43" s="2"/>
      <c r="L43" s="101" t="s">
        <v>284</v>
      </c>
      <c r="M43" s="4" t="s">
        <v>285</v>
      </c>
      <c r="N43" s="4" t="s">
        <v>286</v>
      </c>
      <c r="O43" s="93" t="s">
        <v>178</v>
      </c>
      <c r="P43" s="2"/>
      <c r="Q43" s="20"/>
      <c r="R43" s="2"/>
      <c r="S43" s="2"/>
      <c r="T43" s="418"/>
      <c r="U43" s="418"/>
      <c r="V43" s="418"/>
      <c r="W43" s="423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customFormat="false" ht="12.75" hidden="false" customHeight="true" outlineLevel="0" collapsed="false">
      <c r="A44" s="56"/>
      <c r="B44" s="2"/>
      <c r="C44" s="2"/>
      <c r="D44" s="101" t="n">
        <f aca="false">SUM(D21:G21)/SUM(D8:G8)/12</f>
        <v>49.63733513</v>
      </c>
      <c r="E44" s="101" t="n">
        <f aca="false">SUM(D38:G38)/SUM(D8:G8)/12</f>
        <v>33.5852747534656</v>
      </c>
      <c r="F44" s="101" t="n">
        <f aca="false">D44-E44</f>
        <v>16.0520603765344</v>
      </c>
      <c r="G44" s="193" t="n">
        <f aca="false">F44/D44</f>
        <v>0.323386828372113</v>
      </c>
      <c r="H44" s="2"/>
      <c r="I44" s="56"/>
      <c r="J44" s="2"/>
      <c r="K44" s="2"/>
      <c r="L44" s="101" t="n">
        <f aca="false">SUM(L21:O21)/SUM(L8:O8)/12</f>
        <v>49.63733513</v>
      </c>
      <c r="M44" s="101" t="n">
        <f aca="false">SUM(L38:O38)/SUM(L8:O8)/12</f>
        <v>33.7667274058848</v>
      </c>
      <c r="N44" s="101" t="n">
        <f aca="false">L44-M44</f>
        <v>15.8706077241152</v>
      </c>
      <c r="O44" s="193" t="n">
        <f aca="false">N44/L44</f>
        <v>0.319731260402078</v>
      </c>
      <c r="P44" s="2"/>
      <c r="Q44" s="56"/>
      <c r="R44" s="2"/>
      <c r="S44" s="2"/>
      <c r="T44" s="93" t="s">
        <v>283</v>
      </c>
      <c r="U44" s="93"/>
      <c r="V44" s="93"/>
      <c r="W44" s="93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customFormat="false" ht="12.75" hidden="false" customHeight="true" outlineLevel="0" collapsed="false">
      <c r="A45" s="56"/>
      <c r="B45" s="2"/>
      <c r="C45" s="2"/>
      <c r="D45" s="2"/>
      <c r="E45" s="2"/>
      <c r="F45" s="2"/>
      <c r="G45" s="25"/>
      <c r="H45" s="2"/>
      <c r="I45" s="56"/>
      <c r="J45" s="2"/>
      <c r="K45" s="2"/>
      <c r="L45" s="2"/>
      <c r="M45" s="2"/>
      <c r="N45" s="2"/>
      <c r="O45" s="25"/>
      <c r="P45" s="2"/>
      <c r="Q45" s="56"/>
      <c r="R45" s="148"/>
      <c r="S45" s="2"/>
      <c r="T45" s="101" t="s">
        <v>284</v>
      </c>
      <c r="U45" s="4" t="s">
        <v>285</v>
      </c>
      <c r="V45" s="4" t="s">
        <v>286</v>
      </c>
      <c r="W45" s="93" t="s">
        <v>178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customFormat="false" ht="12.75" hidden="false" customHeight="true" outlineLevel="0" collapsed="false">
      <c r="A46" s="56" t="str">
        <f aca="false">"*Subscriber number assumes a monthly customer churn rate of "&amp;100*Inputs!E9&amp;"%"</f>
        <v>*Subscriber number assumes a monthly customer churn rate of 5%</v>
      </c>
      <c r="B46" s="2"/>
      <c r="C46" s="2"/>
      <c r="D46" s="2"/>
      <c r="E46" s="2"/>
      <c r="F46" s="2"/>
      <c r="G46" s="25"/>
      <c r="H46" s="2"/>
      <c r="I46" s="56" t="str">
        <f aca="false">"*Subscriber number assumes a monthly customer churn rate of "&amp;100*Inputs!E9&amp;"%"</f>
        <v>*Subscriber number assumes a monthly customer churn rate of 5%</v>
      </c>
      <c r="J46" s="2"/>
      <c r="K46" s="2"/>
      <c r="L46" s="2"/>
      <c r="M46" s="2"/>
      <c r="N46" s="2"/>
      <c r="O46" s="25"/>
      <c r="P46" s="2"/>
      <c r="Q46" s="185"/>
      <c r="R46" s="2"/>
      <c r="S46" s="2"/>
      <c r="T46" s="101" t="n">
        <f aca="false">SUM(T21:W21)/SUM(T8:W8)/12</f>
        <v>49.63733513</v>
      </c>
      <c r="U46" s="101" t="n">
        <f aca="false">SUM(T40:W40)/SUM(T8:W8)/12</f>
        <v>30.0319031022204</v>
      </c>
      <c r="V46" s="101" t="n">
        <f aca="false">T46-U46</f>
        <v>19.6054320277796</v>
      </c>
      <c r="W46" s="193" t="n">
        <f aca="false">V46/T46</f>
        <v>0.394973500822175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customFormat="false" ht="12.75" hidden="false" customHeight="true" outlineLevel="0" collapsed="false">
      <c r="A47" s="424" t="str">
        <f aca="false">"** Based on a weighted average projection of six rate plans and an underlying average consumption rate of "&amp;Inputs!F32&amp;" Product 1 minutes per user, "&amp;Inputs!H31&amp;" Product 2 messages per user and "&amp;Inputs!J31&amp;" units of data per user per month."</f>
        <v>** Based on a weighted average projection of six rate plans and an underlying average consumption rate of 229 Product 1 minutes per user, 60 Product 2 messages per user and 0.1 units of data per user per month.</v>
      </c>
      <c r="B47" s="424"/>
      <c r="C47" s="424"/>
      <c r="D47" s="424"/>
      <c r="E47" s="424"/>
      <c r="F47" s="424"/>
      <c r="G47" s="424"/>
      <c r="H47" s="2"/>
      <c r="I47" s="424" t="str">
        <f aca="false">"** Based on a weighted average projection of six rate plans and an underlying average consumption rate of "&amp;Inputs!C23&amp;" Product 1 minutes per user, "&amp;Inputs!C24&amp;" Product 2 messages per user and "&amp;Inputs!C25&amp;" units of data per user per month."</f>
        <v>** Based on a weighted average projection of six rate plans and an underlying average consumption rate of 229 Product 1 minutes per user, 93 Product 2 messages per user and 0.207 units of data per user per month.</v>
      </c>
      <c r="J47" s="424"/>
      <c r="K47" s="424"/>
      <c r="L47" s="424"/>
      <c r="M47" s="424"/>
      <c r="N47" s="424"/>
      <c r="O47" s="424"/>
      <c r="P47" s="2"/>
      <c r="Q47" s="185"/>
      <c r="R47" s="7"/>
      <c r="S47" s="2"/>
      <c r="T47" s="2"/>
      <c r="U47" s="2"/>
      <c r="V47" s="2"/>
      <c r="W47" s="25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customFormat="false" ht="13.5" hidden="false" customHeight="true" outlineLevel="0" collapsed="false">
      <c r="A48" s="424"/>
      <c r="B48" s="424"/>
      <c r="C48" s="424"/>
      <c r="D48" s="424"/>
      <c r="E48" s="424"/>
      <c r="F48" s="424"/>
      <c r="G48" s="424"/>
      <c r="H48" s="2"/>
      <c r="I48" s="424"/>
      <c r="J48" s="424"/>
      <c r="K48" s="424"/>
      <c r="L48" s="424"/>
      <c r="M48" s="424"/>
      <c r="N48" s="424"/>
      <c r="O48" s="424"/>
      <c r="P48" s="2"/>
      <c r="Q48" s="235" t="str">
        <f aca="false">I46</f>
        <v>*Subscriber number assumes a monthly customer churn rate of 5%</v>
      </c>
      <c r="R48" s="2"/>
      <c r="S48" s="2"/>
      <c r="T48" s="2"/>
      <c r="U48" s="2"/>
      <c r="V48" s="2"/>
      <c r="W48" s="25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424" t="str">
        <f aca="false">I47</f>
        <v>** Based on a weighted average projection of six rate plans and an underlying average consumption rate of 229 Product 1 minutes per user, 93 Product 2 messages per user and 0.207 units of data per user per month.</v>
      </c>
      <c r="R49" s="424"/>
      <c r="S49" s="424"/>
      <c r="T49" s="424"/>
      <c r="U49" s="424"/>
      <c r="V49" s="424"/>
      <c r="W49" s="424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424"/>
      <c r="R50" s="424"/>
      <c r="S50" s="424"/>
      <c r="T50" s="424"/>
      <c r="U50" s="424"/>
      <c r="V50" s="424"/>
      <c r="W50" s="424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customFormat="false" ht="12.75" hidden="false" customHeight="true" outlineLevel="0" collapsed="false">
      <c r="A51" s="2" t="s">
        <v>293</v>
      </c>
      <c r="B51" s="3" t="n">
        <f aca="false">SUM(D11:G12)/SUM(D8:G8)/12</f>
        <v>32.28798977</v>
      </c>
      <c r="C51" s="2"/>
      <c r="D51" s="2"/>
      <c r="E51" s="2"/>
      <c r="F51" s="2"/>
      <c r="G51" s="2"/>
      <c r="H51" s="2"/>
      <c r="I51" s="425" t="n">
        <f aca="false">SUM(D21:G21)</f>
        <v>45275950.68</v>
      </c>
      <c r="J51" s="426" t="s">
        <v>294</v>
      </c>
      <c r="K51" s="427"/>
      <c r="L51" s="2"/>
      <c r="M51" s="428" t="s">
        <v>295</v>
      </c>
      <c r="N51" s="429" t="n">
        <f aca="false">G44</f>
        <v>0.323386828372113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430" t="n">
        <f aca="false">SUM(L21:O21)</f>
        <v>45275950.68</v>
      </c>
      <c r="J52" s="431" t="s">
        <v>296</v>
      </c>
      <c r="K52" s="432"/>
      <c r="L52" s="2"/>
      <c r="M52" s="433" t="s">
        <v>297</v>
      </c>
      <c r="N52" s="434" t="n">
        <f aca="false">O44</f>
        <v>0.319731260402078</v>
      </c>
      <c r="O52" s="2"/>
      <c r="P52" s="2"/>
      <c r="Q52" s="148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customFormat="false" ht="12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430" t="n">
        <f aca="false">SUM(T21:W21)</f>
        <v>45275950.68</v>
      </c>
      <c r="J53" s="431" t="s">
        <v>298</v>
      </c>
      <c r="K53" s="432"/>
      <c r="L53" s="2"/>
      <c r="M53" s="433" t="s">
        <v>299</v>
      </c>
      <c r="N53" s="434" t="n">
        <f aca="false">W46</f>
        <v>0.394973500822175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435" t="n">
        <f aca="false">SUM(AB21:AE21)</f>
        <v>45275950.68</v>
      </c>
      <c r="J54" s="436" t="s">
        <v>300</v>
      </c>
      <c r="K54" s="437"/>
      <c r="L54" s="2"/>
      <c r="M54" s="433" t="s">
        <v>301</v>
      </c>
      <c r="N54" s="434" t="n">
        <f aca="false">AE33</f>
        <v>0.440542065636806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438" t="n">
        <f aca="false">MAX(I51:I54)-MIN(I51:I54)</f>
        <v>0</v>
      </c>
      <c r="J55" s="439" t="s">
        <v>302</v>
      </c>
      <c r="K55" s="440"/>
      <c r="L55" s="2"/>
      <c r="M55" s="441" t="s">
        <v>303</v>
      </c>
      <c r="N55" s="442" t="n">
        <f aca="false">MAX(N51:N54)-MIN(N51:N54)</f>
        <v>0.120810805234728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customFormat="false" ht="13.5" hidden="false" customHeight="true" outlineLevel="0" collapsed="false">
      <c r="A56" s="2"/>
      <c r="B56" s="2"/>
      <c r="C56" s="2"/>
      <c r="D56" s="6"/>
      <c r="E56" s="2"/>
      <c r="F56" s="2"/>
      <c r="G56" s="2"/>
      <c r="H56" s="2"/>
      <c r="I56" s="443" t="n">
        <f aca="false">AVERAGE(I51:I54)</f>
        <v>45275950.68</v>
      </c>
      <c r="J56" s="439" t="s">
        <v>304</v>
      </c>
      <c r="K56" s="440"/>
      <c r="L56" s="2"/>
      <c r="M56" s="441" t="s">
        <v>305</v>
      </c>
      <c r="N56" s="442" t="n">
        <f aca="false">AVERAGE(N51:N54)</f>
        <v>0.369658413808293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customFormat="false" ht="12.75" hidden="false" customHeight="true" outlineLevel="0" collapsed="false">
      <c r="A57" s="428" t="s">
        <v>308</v>
      </c>
      <c r="B57" s="426"/>
      <c r="C57" s="426"/>
      <c r="D57" s="447" t="n">
        <f aca="false">L8-K8</f>
        <v>10000</v>
      </c>
      <c r="E57" s="447" t="n">
        <f aca="false">M8-L8</f>
        <v>4500</v>
      </c>
      <c r="F57" s="447" t="n">
        <f aca="false">N8-M8</f>
        <v>6525</v>
      </c>
      <c r="G57" s="448" t="n">
        <f aca="false">O8-N8</f>
        <v>9461.25</v>
      </c>
      <c r="H57" s="2"/>
      <c r="I57" s="445" t="n">
        <f aca="false">MAX(I51:I54)/I56-1</f>
        <v>0</v>
      </c>
      <c r="J57" s="426" t="s">
        <v>307</v>
      </c>
      <c r="K57" s="427"/>
      <c r="L57" s="2"/>
      <c r="M57" s="433" t="s">
        <v>307</v>
      </c>
      <c r="N57" s="446" t="n">
        <f aca="false">MAX(N51:N54)/N56-1</f>
        <v>0.19175446623345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customFormat="false" ht="13.5" hidden="false" customHeight="true" outlineLevel="0" collapsed="false">
      <c r="A58" s="450" t="s">
        <v>310</v>
      </c>
      <c r="B58" s="451"/>
      <c r="C58" s="451"/>
      <c r="D58" s="451" t="n">
        <f aca="false">ROUNDUP(K8*Inputs!$E$9*12,0)</f>
        <v>0</v>
      </c>
      <c r="E58" s="451" t="n">
        <f aca="false">ROUNDUP(L8*Inputs!$E$9*12,0)</f>
        <v>6000</v>
      </c>
      <c r="F58" s="451" t="n">
        <f aca="false">ROUNDUP(M8*Inputs!$E$9*12,0)</f>
        <v>8700</v>
      </c>
      <c r="G58" s="452" t="n">
        <f aca="false">ROUNDUP(N8*Inputs!$E$9*12,0)</f>
        <v>12615</v>
      </c>
      <c r="H58" s="2"/>
      <c r="I58" s="449" t="n">
        <f aca="false">MIN(I51:I54)/I56-1</f>
        <v>0</v>
      </c>
      <c r="J58" s="436" t="s">
        <v>309</v>
      </c>
      <c r="K58" s="437"/>
      <c r="L58" s="2"/>
      <c r="M58" s="433" t="s">
        <v>309</v>
      </c>
      <c r="N58" s="446" t="n">
        <f aca="false">MIN(N51:N54)/N56-1</f>
        <v>-0.135062943358588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customFormat="false" ht="13.5" hidden="false" customHeight="true" outlineLevel="0" collapsed="false">
      <c r="A59" s="455" t="s">
        <v>312</v>
      </c>
      <c r="B59" s="436"/>
      <c r="C59" s="436"/>
      <c r="D59" s="456" t="n">
        <f aca="false">D57+D58</f>
        <v>10000</v>
      </c>
      <c r="E59" s="456" t="n">
        <f aca="false">E57+E58</f>
        <v>10500</v>
      </c>
      <c r="F59" s="456" t="n">
        <f aca="false">F57+F58</f>
        <v>15225</v>
      </c>
      <c r="G59" s="457" t="n">
        <f aca="false">G57+G58</f>
        <v>22076.25</v>
      </c>
      <c r="H59" s="2"/>
      <c r="I59" s="453" t="n">
        <f aca="false">I55/I56</f>
        <v>0</v>
      </c>
      <c r="J59" s="439" t="s">
        <v>311</v>
      </c>
      <c r="K59" s="440"/>
      <c r="L59" s="2"/>
      <c r="M59" s="441" t="s">
        <v>311</v>
      </c>
      <c r="N59" s="454" t="n">
        <f aca="false">N55/N56</f>
        <v>0.326817409592039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customFormat="false" ht="12.75" hidden="false" customHeight="true" outlineLevel="0" collapsed="false">
      <c r="A61" s="431"/>
      <c r="B61" s="96" t="s">
        <v>315</v>
      </c>
      <c r="C61" s="96" t="s">
        <v>316</v>
      </c>
      <c r="D61" s="96" t="s">
        <v>142</v>
      </c>
      <c r="E61" s="2"/>
      <c r="F61" s="2"/>
      <c r="G61" s="2"/>
      <c r="H61" s="2"/>
      <c r="I61" s="425" t="n">
        <f aca="false">SUM(D38:G38)</f>
        <v>30634304.5872524</v>
      </c>
      <c r="J61" s="426" t="s">
        <v>313</v>
      </c>
      <c r="K61" s="427"/>
      <c r="L61" s="2"/>
      <c r="M61" s="428" t="s">
        <v>314</v>
      </c>
      <c r="N61" s="458" t="n">
        <f aca="false">F44</f>
        <v>16.0520603765344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customFormat="false" ht="12.75" hidden="false" customHeight="true" outlineLevel="0" collapsed="false">
      <c r="A62" s="431" t="s">
        <v>284</v>
      </c>
      <c r="B62" s="460" t="n">
        <v>53</v>
      </c>
      <c r="C62" s="127" t="n">
        <f aca="false">L44</f>
        <v>49.63733513</v>
      </c>
      <c r="D62" s="128" t="n">
        <f aca="false">C62-B62</f>
        <v>-3.362664871</v>
      </c>
      <c r="E62" s="2"/>
      <c r="F62" s="2"/>
      <c r="G62" s="2"/>
      <c r="H62" s="2"/>
      <c r="I62" s="430" t="n">
        <f aca="false">SUM(L38:O38)</f>
        <v>30799813.9023667</v>
      </c>
      <c r="J62" s="431" t="s">
        <v>317</v>
      </c>
      <c r="K62" s="432"/>
      <c r="L62" s="2"/>
      <c r="M62" s="433" t="s">
        <v>318</v>
      </c>
      <c r="N62" s="459" t="n">
        <f aca="false">N44</f>
        <v>15.8706077241152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customFormat="false" ht="12.75" hidden="false" customHeight="true" outlineLevel="0" collapsed="false">
      <c r="A63" s="431" t="s">
        <v>321</v>
      </c>
      <c r="B63" s="461" t="n">
        <v>0.2</v>
      </c>
      <c r="C63" s="462" t="n">
        <f aca="false">(SUM(D13:G13)+SUM(D14:G14))/SUM(L21:O21)</f>
        <v>0.2129186539</v>
      </c>
      <c r="D63" s="462" t="n">
        <f aca="false">ABS(B63-C63)</f>
        <v>0.01291865393</v>
      </c>
      <c r="E63" s="2"/>
      <c r="F63" s="2"/>
      <c r="G63" s="2"/>
      <c r="H63" s="2"/>
      <c r="I63" s="430" t="n">
        <f aca="false">SUM(T40:W40)</f>
        <v>27393149.9361438</v>
      </c>
      <c r="J63" s="431" t="s">
        <v>319</v>
      </c>
      <c r="K63" s="432"/>
      <c r="L63" s="2"/>
      <c r="M63" s="433" t="s">
        <v>320</v>
      </c>
      <c r="N63" s="459" t="n">
        <f aca="false">V46</f>
        <v>19.6054320277796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435" t="n">
        <f aca="false">SUM(AB27:AE27)</f>
        <v>25329989.8430927</v>
      </c>
      <c r="J64" s="436" t="s">
        <v>322</v>
      </c>
      <c r="K64" s="437"/>
      <c r="L64" s="2"/>
      <c r="M64" s="433" t="s">
        <v>323</v>
      </c>
      <c r="N64" s="459" t="n">
        <f aca="false">AD33</f>
        <v>21.8673341508766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customFormat="false" ht="13.5" hidden="false" customHeight="true" outlineLevel="0" collapsed="false">
      <c r="A65" s="431" t="s">
        <v>326</v>
      </c>
      <c r="B65" s="431"/>
      <c r="C65" s="431"/>
      <c r="D65" s="464" t="n">
        <f aca="false">12*(Inputs!$AD$135+Inputs!$BB$135)/Inputs!$D$39*L8</f>
        <v>3148286.86445837</v>
      </c>
      <c r="E65" s="464" t="n">
        <f aca="false">12*(Inputs!$AD$135+Inputs!$BB$135)/Inputs!$D$39*M8</f>
        <v>4565015.95346463</v>
      </c>
      <c r="F65" s="464" t="n">
        <f aca="false">12*(Inputs!$AD$135+Inputs!$BB$135)/Inputs!$D$39*N8</f>
        <v>6619273.13252371</v>
      </c>
      <c r="G65" s="464" t="n">
        <f aca="false">12*(Inputs!$AD$135+Inputs!$BB$135)/Inputs!$D$39*O8</f>
        <v>9597946.04215938</v>
      </c>
      <c r="H65" s="2"/>
      <c r="I65" s="443" t="n">
        <f aca="false">MAX(I61:I64)-MIN(I61:I64)</f>
        <v>5469824.05927397</v>
      </c>
      <c r="J65" s="439" t="s">
        <v>324</v>
      </c>
      <c r="K65" s="440"/>
      <c r="L65" s="2"/>
      <c r="M65" s="441" t="s">
        <v>325</v>
      </c>
      <c r="N65" s="463" t="n">
        <f aca="false">MAX(N61:N64)-MIN(N61:N64)</f>
        <v>5.99672642676136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customFormat="false" ht="13.5" hidden="false" customHeight="true" outlineLevel="0" collapsed="false">
      <c r="A66" s="431" t="s">
        <v>329</v>
      </c>
      <c r="B66" s="431"/>
      <c r="C66" s="431"/>
      <c r="D66" s="464" t="n">
        <f aca="false">12*(Inputs!$AE$135+Inputs!$BC$135)/Inputs!$D$39*L8</f>
        <v>1265726.56725586</v>
      </c>
      <c r="E66" s="464" t="n">
        <f aca="false">12*(Inputs!$AE$135+Inputs!$BC$135)/Inputs!$D$39*M8</f>
        <v>1835303.522521</v>
      </c>
      <c r="F66" s="464" t="n">
        <f aca="false">12*(Inputs!$AE$135+Inputs!$BC$135)/Inputs!$D$39*N8</f>
        <v>2661190.10765546</v>
      </c>
      <c r="G66" s="464" t="n">
        <f aca="false">12*(Inputs!$AE$135+Inputs!$BC$135)/Inputs!$D$39*O8</f>
        <v>3858725.65610041</v>
      </c>
      <c r="H66" s="2"/>
      <c r="I66" s="443" t="n">
        <f aca="false">AVERAGE(I61:I64)</f>
        <v>28539314.5672139</v>
      </c>
      <c r="J66" s="439" t="s">
        <v>327</v>
      </c>
      <c r="K66" s="440"/>
      <c r="L66" s="2"/>
      <c r="M66" s="441" t="s">
        <v>328</v>
      </c>
      <c r="N66" s="463" t="n">
        <f aca="false">AVERAGE(N61:N64)</f>
        <v>18.3488585698265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customFormat="false" ht="12.75" hidden="false" customHeight="true" outlineLevel="0" collapsed="false">
      <c r="A67" s="431" t="s">
        <v>330</v>
      </c>
      <c r="B67" s="431"/>
      <c r="C67" s="431"/>
      <c r="D67" s="465" t="n">
        <f aca="false">Inputs!$AY$135*12/Inputs!$D$39*L8</f>
        <v>27869215.47</v>
      </c>
      <c r="E67" s="465" t="n">
        <f aca="false">Inputs!$AY$135*12/Inputs!$D$39*M8</f>
        <v>40410362.44</v>
      </c>
      <c r="F67" s="465" t="n">
        <f aca="false">Inputs!$AY$135*12/Inputs!$D$39*N8</f>
        <v>58595025.53</v>
      </c>
      <c r="G67" s="465" t="n">
        <f aca="false">Inputs!$AY$135*12/Inputs!$D$39*O8</f>
        <v>84962787.02</v>
      </c>
      <c r="H67" s="2"/>
      <c r="I67" s="445" t="n">
        <f aca="false">MAX(I61:I64)/I66-1</f>
        <v>0.079206504060531</v>
      </c>
      <c r="J67" s="426" t="s">
        <v>307</v>
      </c>
      <c r="K67" s="427"/>
      <c r="L67" s="2"/>
      <c r="M67" s="433" t="s">
        <v>307</v>
      </c>
      <c r="N67" s="446" t="n">
        <f aca="false">MAX(N61:N64)/N66-1</f>
        <v>0.19175446623345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customFormat="false" ht="13.5" hidden="false" customHeight="true" outlineLevel="0" collapsed="false">
      <c r="A68" s="431" t="s">
        <v>331</v>
      </c>
      <c r="B68" s="431"/>
      <c r="C68" s="431"/>
      <c r="D68" s="465" t="n">
        <f aca="false">Inputs!$AZ$135*12/Inputs!$D$39*L8</f>
        <v>11318065.67</v>
      </c>
      <c r="E68" s="465" t="n">
        <f aca="false">Inputs!$AZ$135*12/Inputs!$D$39*M8</f>
        <v>16411195.23</v>
      </c>
      <c r="F68" s="465" t="n">
        <f aca="false">Inputs!$AZ$135*12/Inputs!$D$39*N8</f>
        <v>23796233.08</v>
      </c>
      <c r="G68" s="465" t="n">
        <f aca="false">Inputs!$AZ$135*12/Inputs!$D$39*O8</f>
        <v>34504537.96</v>
      </c>
      <c r="H68" s="2"/>
      <c r="I68" s="449" t="n">
        <f aca="false">MIN(I61:I64)/I66-1</f>
        <v>-0.112452761139823</v>
      </c>
      <c r="J68" s="436" t="s">
        <v>309</v>
      </c>
      <c r="K68" s="437"/>
      <c r="L68" s="2"/>
      <c r="M68" s="433" t="s">
        <v>309</v>
      </c>
      <c r="N68" s="446" t="n">
        <f aca="false">MIN(N61:N64)/N66-1</f>
        <v>-0.135062943358588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customFormat="false" ht="13.5" hidden="false" customHeight="true" outlineLevel="0" collapsed="false">
      <c r="A69" s="431" t="s">
        <v>332</v>
      </c>
      <c r="B69" s="431"/>
      <c r="C69" s="431"/>
      <c r="D69" s="465" t="n">
        <f aca="false">Inputs!$BA$135/Inputs!$D$39*L8</f>
        <v>2099.318633</v>
      </c>
      <c r="E69" s="465" t="n">
        <f aca="false">Inputs!$BA$135/Inputs!$D$39*M8</f>
        <v>3044.012018</v>
      </c>
      <c r="F69" s="465" t="n">
        <f aca="false">Inputs!$BA$135/Inputs!$D$39*N8</f>
        <v>4413.817425</v>
      </c>
      <c r="G69" s="465" t="n">
        <f aca="false">Inputs!$BA$135/Inputs!$D$39*O8</f>
        <v>6400.035267</v>
      </c>
      <c r="H69" s="2"/>
      <c r="I69" s="453" t="n">
        <f aca="false">I65/I66</f>
        <v>0.191659265200354</v>
      </c>
      <c r="J69" s="439" t="s">
        <v>311</v>
      </c>
      <c r="K69" s="440"/>
      <c r="L69" s="2"/>
      <c r="M69" s="441" t="s">
        <v>311</v>
      </c>
      <c r="N69" s="454" t="n">
        <f aca="false">N65/N66</f>
        <v>0.326817409592039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customFormat="false" ht="12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425" t="n">
        <f aca="false">SUM(D40:G40)</f>
        <v>14641646.0943586</v>
      </c>
      <c r="J71" s="426" t="s">
        <v>333</v>
      </c>
      <c r="K71" s="42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customFormat="false" ht="12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430" t="n">
        <f aca="false">SUM(L40:O40)</f>
        <v>14476136.7792443</v>
      </c>
      <c r="J72" s="431" t="s">
        <v>334</v>
      </c>
      <c r="K72" s="43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customFormat="false" ht="12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430" t="n">
        <f aca="false">SUM(T42:W42)</f>
        <v>17882800.7454672</v>
      </c>
      <c r="J73" s="431" t="s">
        <v>335</v>
      </c>
      <c r="K73" s="43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435" t="n">
        <f aca="false">SUM(AB29:AE29)</f>
        <v>19945960.8385183</v>
      </c>
      <c r="J74" s="436" t="s">
        <v>336</v>
      </c>
      <c r="K74" s="43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443" t="n">
        <f aca="false">MAX(I71:I74)-MIN(I71:I74)</f>
        <v>5469824.05927397</v>
      </c>
      <c r="J75" s="439" t="s">
        <v>337</v>
      </c>
      <c r="K75" s="44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443" t="n">
        <f aca="false">AVERAGE(I71:I74)</f>
        <v>16736636.1143971</v>
      </c>
      <c r="J76" s="439" t="s">
        <v>338</v>
      </c>
      <c r="K76" s="44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customFormat="false" ht="12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445" t="n">
        <f aca="false">MAX(I71:I74)/I76-1</f>
        <v>0.191754466201273</v>
      </c>
      <c r="J77" s="426" t="s">
        <v>307</v>
      </c>
      <c r="K77" s="42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449" t="n">
        <f aca="false">MIN(I71:I74)/I76-1</f>
        <v>-0.135062943335924</v>
      </c>
      <c r="J78" s="436" t="s">
        <v>309</v>
      </c>
      <c r="K78" s="43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453" t="n">
        <f aca="false">I75/I76</f>
        <v>0.326817409537198</v>
      </c>
      <c r="J79" s="439" t="s">
        <v>311</v>
      </c>
      <c r="K79" s="44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61">
    <mergeCell ref="A1:G1"/>
    <mergeCell ref="I1:O1"/>
    <mergeCell ref="Q1:W1"/>
    <mergeCell ref="Y1:AE1"/>
    <mergeCell ref="AG1:AM1"/>
    <mergeCell ref="AO1:AU1"/>
    <mergeCell ref="A2:G2"/>
    <mergeCell ref="I2:O2"/>
    <mergeCell ref="Q2:W2"/>
    <mergeCell ref="Y2:AE2"/>
    <mergeCell ref="AG2:AM2"/>
    <mergeCell ref="AO2:AU2"/>
    <mergeCell ref="A3:G3"/>
    <mergeCell ref="I3:O3"/>
    <mergeCell ref="Q3:W3"/>
    <mergeCell ref="Y3:AE3"/>
    <mergeCell ref="AG3:AM3"/>
    <mergeCell ref="AO3:AU3"/>
    <mergeCell ref="A4:G4"/>
    <mergeCell ref="I4:O4"/>
    <mergeCell ref="Q4:W4"/>
    <mergeCell ref="Y4:AE4"/>
    <mergeCell ref="AG4:AM4"/>
    <mergeCell ref="AO4:AU4"/>
    <mergeCell ref="D5:G5"/>
    <mergeCell ref="L5:O5"/>
    <mergeCell ref="T5:W5"/>
    <mergeCell ref="AB5:AE5"/>
    <mergeCell ref="AJ5:AM5"/>
    <mergeCell ref="AR5:AU5"/>
    <mergeCell ref="AH9:AI9"/>
    <mergeCell ref="AJ9:AK9"/>
    <mergeCell ref="AL9:AM9"/>
    <mergeCell ref="AO9:AP9"/>
    <mergeCell ref="AR9:AU9"/>
    <mergeCell ref="AH10:AI10"/>
    <mergeCell ref="AJ10:AK10"/>
    <mergeCell ref="AL10:AM10"/>
    <mergeCell ref="AO10:AP10"/>
    <mergeCell ref="AH12:AI12"/>
    <mergeCell ref="AJ12:AK12"/>
    <mergeCell ref="AL12:AM12"/>
    <mergeCell ref="AO12:AP12"/>
    <mergeCell ref="AH13:AI13"/>
    <mergeCell ref="AJ13:AK13"/>
    <mergeCell ref="AL13:AM13"/>
    <mergeCell ref="AO13:AP13"/>
    <mergeCell ref="AR13:AU13"/>
    <mergeCell ref="AO15:AP15"/>
    <mergeCell ref="AH16:AI17"/>
    <mergeCell ref="AO16:AP16"/>
    <mergeCell ref="AP24:AU25"/>
    <mergeCell ref="AB31:AE31"/>
    <mergeCell ref="Y36:AE37"/>
    <mergeCell ref="AH38:AM39"/>
    <mergeCell ref="D42:G42"/>
    <mergeCell ref="L42:O42"/>
    <mergeCell ref="T44:W44"/>
    <mergeCell ref="A47:G48"/>
    <mergeCell ref="I47:O48"/>
    <mergeCell ref="Q49:W50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LibreOffice/5.2.5.1$Windows_x86 LibreOffice_project/0312e1a284a7d50ca85a365c316c7abbf20a4d22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Justin Cole</cp:lastModifiedBy>
  <dcterms:modified xsi:type="dcterms:W3CDTF">2019-01-15T08:46:17Z</dcterms:modified>
  <cp:revision>2</cp:revision>
  <dc:subject/>
  <dc:title/>
</cp:coreProperties>
</file>